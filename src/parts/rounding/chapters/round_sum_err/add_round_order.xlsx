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chy\Desktop\"/>
    </mc:Choice>
  </mc:AlternateContent>
  <xr:revisionPtr revIDLastSave="0" documentId="13_ncr:1_{D3686956-5A32-4BED-B84F-EDE2389DB932}" xr6:coauthVersionLast="47" xr6:coauthVersionMax="47" xr10:uidLastSave="{00000000-0000-0000-0000-000000000000}"/>
  <bookViews>
    <workbookView xWindow="-120" yWindow="-16320" windowWidth="29040" windowHeight="15720" xr2:uid="{DB92D6CE-09BE-44B4-B5D9-0FC0724333A1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58" i="1" l="1" a="1"/>
  <c r="T58" i="1" s="1"/>
  <c r="AR3" i="1" a="1"/>
  <c r="AR3" i="1" s="1"/>
  <c r="AQ4" i="1" a="1"/>
  <c r="AQ4" i="1" s="1"/>
  <c r="AF3" i="1" a="1"/>
  <c r="AF3" i="1" s="1"/>
  <c r="AE4" i="1" a="1"/>
  <c r="AE4" i="1" s="1"/>
  <c r="T4" i="1" a="1"/>
  <c r="T4" i="1" s="1"/>
  <c r="T59" i="1" s="1"/>
  <c r="T3" i="1" a="1"/>
  <c r="T3" i="1" s="1"/>
  <c r="S4" i="1" a="1"/>
  <c r="S4" i="1" s="1"/>
  <c r="W59" i="1" l="1"/>
  <c r="V59" i="1"/>
  <c r="U59" i="1"/>
  <c r="AC59" i="1"/>
  <c r="AB59" i="1"/>
  <c r="AA59" i="1"/>
  <c r="Z59" i="1"/>
  <c r="Y59" i="1"/>
  <c r="X59" i="1"/>
  <c r="AF4" i="1" a="1"/>
  <c r="U61" i="1" l="1"/>
  <c r="V61" i="1"/>
  <c r="W61" i="1"/>
  <c r="X61" i="1"/>
  <c r="Y61" i="1"/>
  <c r="Z61" i="1"/>
  <c r="AA61" i="1"/>
  <c r="AB61" i="1"/>
  <c r="AC61" i="1"/>
  <c r="T60" i="1" a="1"/>
  <c r="AF4" i="1"/>
  <c r="T61" i="1" s="1"/>
  <c r="T64" i="1" l="1" a="1"/>
  <c r="T60" i="1"/>
  <c r="T63" i="1" s="1" a="1"/>
  <c r="AR4" i="1" a="1"/>
  <c r="AR4" i="1" s="1"/>
  <c r="T64" i="1" l="1"/>
  <c r="AE64" i="1" s="1"/>
  <c r="T63" i="1"/>
  <c r="AE63" i="1" s="1"/>
  <c r="AE6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<sst xmlns="http://schemas.openxmlformats.org/spreadsheetml/2006/main" count="22" uniqueCount="22">
  <si>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>val.</t>
    <phoneticPr fontId="2"/>
  </si>
  <si>
    <t>param. name</t>
    <phoneticPr fontId="2"/>
  </si>
  <si>
    <t>desc.</t>
    <phoneticPr fontId="2"/>
  </si>
  <si>
    <t># of samples</t>
    <phoneticPr fontId="2"/>
  </si>
  <si>
    <t>N_s</t>
    <phoneticPr fontId="2"/>
  </si>
  <si>
    <t>B_i</t>
    <phoneticPr fontId="2"/>
  </si>
  <si>
    <t>int. part bit width</t>
    <phoneticPr fontId="2"/>
  </si>
  <si>
    <t>B_r</t>
    <phoneticPr fontId="2"/>
  </si>
  <si>
    <t>sample idx.</t>
    <phoneticPr fontId="2"/>
  </si>
  <si>
    <t>trial idx.</t>
    <phoneticPr fontId="2"/>
  </si>
  <si>
    <t>round target bit width</t>
    <phoneticPr fontId="2"/>
  </si>
  <si>
    <t>N_t</t>
    <phoneticPr fontId="2"/>
  </si>
  <si>
    <t># of traials</t>
    <phoneticPr fontId="2"/>
  </si>
  <si>
    <t>samp.-wise round</t>
    <phoneticPr fontId="2"/>
  </si>
  <si>
    <t>samp.-wise err.</t>
    <phoneticPr fontId="2"/>
  </si>
  <si>
    <t>round→sum</t>
    <phoneticPr fontId="2"/>
  </si>
  <si>
    <t>sum→round</t>
    <phoneticPr fontId="2"/>
  </si>
  <si>
    <t>true sum</t>
    <phoneticPr fontId="2"/>
  </si>
  <si>
    <t>err. of s→r</t>
    <phoneticPr fontId="2"/>
  </si>
  <si>
    <t>err. of r→s</t>
    <phoneticPr fontId="2"/>
  </si>
  <si>
    <t>std. dev.</t>
    <phoneticPr fontId="2"/>
  </si>
  <si>
    <t>std. dev. ratio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</si>
</sst>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B4C3-E08C-46DF-810E-FEB590B881EF}">
  <dimension ref="I2:BA66"/>
  <sheetViews>
    <sheetView tabSelected="1" topLeftCell="A46" workbookViewId="0">
      <selection activeCell="AE67" sqref="AE67"/>
    </sheetView>
  </sheetViews>
  <sheetFormatPr defaultColWidth="3.08203125" defaultRowHeight="18" customHeight="1" x14ac:dyDescent="0.55000000000000004"/>
  <cols>
    <col min="1" max="8" width="3.08203125" style="1"/>
    <col min="9" max="9" width="11.33203125" style="1" bestFit="1" customWidth="1"/>
    <col min="10" max="10" width="3.83203125" style="1" bestFit="1" customWidth="1"/>
    <col min="11" max="11" width="5.5" style="1" bestFit="1" customWidth="1"/>
    <col min="12" max="18" width="3.08203125" style="1"/>
    <col min="19" max="19" width="9.83203125" style="1" bestFit="1" customWidth="1"/>
    <col min="20" max="29" width="6.58203125" style="1" customWidth="1"/>
    <col min="30" max="30" width="3.08203125" style="1"/>
    <col min="31" max="31" width="10.58203125" style="1" customWidth="1"/>
    <col min="32" max="41" width="6.58203125" style="1" customWidth="1"/>
    <col min="42" max="43" width="3.08203125" style="1"/>
    <col min="44" max="53" width="5.58203125" style="1" customWidth="1"/>
    <col min="54" max="16384" width="3.08203125" style="1"/>
  </cols>
  <sheetData>
    <row r="2" spans="9:53" ht="18" customHeight="1" x14ac:dyDescent="0.55000000000000004">
      <c r="I2" s="2" t="s">
        <v>1</v>
      </c>
      <c r="J2" s="2" t="s">
        <v>0</v>
      </c>
      <c r="K2" s="2" t="s">
        <v>2</v>
      </c>
      <c r="T2" s="2" t="s">
        <v>9</v>
      </c>
      <c r="U2" s="2"/>
      <c r="AE2" s="1" t="s">
        <v>13</v>
      </c>
      <c r="AQ2" s="1" t="s">
        <v>14</v>
      </c>
    </row>
    <row r="3" spans="9:53" ht="18" customHeight="1" x14ac:dyDescent="0.55000000000000004">
      <c r="I3" s="1" t="s">
        <v>5</v>
      </c>
      <c r="J3" s="1">
        <v>16</v>
      </c>
      <c r="K3" s="1" t="s">
        <v>6</v>
      </c>
      <c r="S3" s="2" t="s">
        <v>8</v>
      </c>
      <c r="T3" s="1" cm="1">
        <f t="array" ref="T3:AC3">_xlfn.SEQUENCE(1,$J$5,0)</f>
        <v>0</v>
      </c>
      <c r="U3" s="1">
        <v>1</v>
      </c>
      <c r="V3" s="1">
        <v>2</v>
      </c>
      <c r="W3" s="1">
        <v>3</v>
      </c>
      <c r="X3" s="1">
        <v>4</v>
      </c>
      <c r="Y3" s="1">
        <v>5</v>
      </c>
      <c r="Z3" s="1">
        <v>6</v>
      </c>
      <c r="AA3" s="1">
        <v>7</v>
      </c>
      <c r="AB3" s="1">
        <v>8</v>
      </c>
      <c r="AC3" s="1">
        <v>9</v>
      </c>
      <c r="AF3" s="1" cm="1">
        <f t="array" ref="AF3:AO3">_xlfn.SEQUENCE(1,$J$5,0)</f>
        <v>0</v>
      </c>
      <c r="AG3" s="1">
        <v>1</v>
      </c>
      <c r="AH3" s="1">
        <v>2</v>
      </c>
      <c r="AI3" s="1">
        <v>3</v>
      </c>
      <c r="AJ3" s="1">
        <v>4</v>
      </c>
      <c r="AK3" s="1">
        <v>5</v>
      </c>
      <c r="AL3" s="1">
        <v>6</v>
      </c>
      <c r="AM3" s="1">
        <v>7</v>
      </c>
      <c r="AN3" s="1">
        <v>8</v>
      </c>
      <c r="AO3" s="1">
        <v>9</v>
      </c>
      <c r="AR3" s="1" cm="1">
        <f t="array" ref="AR3:BA3">_xlfn.SEQUENCE(1,$J$5,0)</f>
        <v>0</v>
      </c>
      <c r="AS3" s="1">
        <v>1</v>
      </c>
      <c r="AT3" s="1">
        <v>2</v>
      </c>
      <c r="AU3" s="1">
        <v>3</v>
      </c>
      <c r="AV3" s="1">
        <v>4</v>
      </c>
      <c r="AW3" s="1">
        <v>5</v>
      </c>
      <c r="AX3" s="1">
        <v>6</v>
      </c>
      <c r="AY3" s="1">
        <v>7</v>
      </c>
      <c r="AZ3" s="1">
        <v>8</v>
      </c>
      <c r="BA3" s="1">
        <v>9</v>
      </c>
    </row>
    <row r="4" spans="9:53" ht="18" customHeight="1" x14ac:dyDescent="0.55000000000000004">
      <c r="I4" s="1" t="s">
        <v>7</v>
      </c>
      <c r="J4" s="1">
        <v>4</v>
      </c>
      <c r="K4" s="1" t="s">
        <v>10</v>
      </c>
      <c r="S4" s="1" cm="1">
        <f t="array" ref="S4:S53">_xlfn.SEQUENCE($J$6,1,0)</f>
        <v>0</v>
      </c>
      <c r="T4" s="3" cm="1">
        <f t="array" aca="1" ref="T4:AC53" ca="1">_xlfn.RANDARRAY($J$6,$J$5,-POWER(2,$J$3-1),POWER(2,$J$3-1)-1,TRUE)</f>
        <v>12732</v>
      </c>
      <c r="U4" s="3">
        <f ca="1"/>
        <v>-23090</v>
      </c>
      <c r="V4" s="3">
        <f ca="1"/>
        <v>-22772</v>
      </c>
      <c r="W4" s="3">
        <f ca="1"/>
        <v>3316</v>
      </c>
      <c r="X4" s="3">
        <f ca="1"/>
        <v>11862</v>
      </c>
      <c r="Y4" s="3">
        <f ca="1"/>
        <v>-18695</v>
      </c>
      <c r="Z4" s="3">
        <f ca="1"/>
        <v>31208</v>
      </c>
      <c r="AA4" s="3">
        <f ca="1"/>
        <v>13214</v>
      </c>
      <c r="AB4" s="3">
        <f ca="1"/>
        <v>-3271</v>
      </c>
      <c r="AC4" s="3">
        <f ca="1"/>
        <v>5048</v>
      </c>
      <c r="AE4" s="1" cm="1">
        <f t="array" ref="AE4:AE53">_xlfn.SEQUENCE($J$6,1,0)</f>
        <v>0</v>
      </c>
      <c r="AF4" s="3" cm="1">
        <f t="array" aca="1" ref="AF4:AO53" ca="1">POWER(2,$J$4)*ROUND(_xlfn.ANCHORARRAY(T4)/POWER(2,$J$4),0)</f>
        <v>12736</v>
      </c>
      <c r="AG4" s="3">
        <f ca="1"/>
        <v>-23088</v>
      </c>
      <c r="AH4" s="3">
        <f ca="1"/>
        <v>-22768</v>
      </c>
      <c r="AI4" s="3">
        <f ca="1"/>
        <v>3312</v>
      </c>
      <c r="AJ4" s="3">
        <f ca="1"/>
        <v>11856</v>
      </c>
      <c r="AK4" s="3">
        <f ca="1"/>
        <v>-18688</v>
      </c>
      <c r="AL4" s="3">
        <f ca="1"/>
        <v>31216</v>
      </c>
      <c r="AM4" s="3">
        <f ca="1"/>
        <v>13216</v>
      </c>
      <c r="AN4" s="3">
        <f ca="1"/>
        <v>-3264</v>
      </c>
      <c r="AO4" s="3">
        <f ca="1"/>
        <v>5056</v>
      </c>
      <c r="AQ4" s="1" cm="1">
        <f t="array" ref="AQ4:AQ53">_xlfn.SEQUENCE($J$6,1,0)</f>
        <v>0</v>
      </c>
      <c r="AR4" s="3" cm="1">
        <f t="array" aca="1" ref="AR4:BA53" ca="1">_xlfn.ANCHORARRAY(AF4)-_xlfn.ANCHORARRAY(T4)</f>
        <v>4</v>
      </c>
      <c r="AS4" s="3">
        <f ca="1"/>
        <v>2</v>
      </c>
      <c r="AT4" s="3">
        <f ca="1"/>
        <v>4</v>
      </c>
      <c r="AU4" s="3">
        <f ca="1"/>
        <v>-4</v>
      </c>
      <c r="AV4" s="3">
        <f ca="1"/>
        <v>-6</v>
      </c>
      <c r="AW4" s="3">
        <f ca="1"/>
        <v>7</v>
      </c>
      <c r="AX4" s="3">
        <f ca="1"/>
        <v>8</v>
      </c>
      <c r="AY4" s="3">
        <f ca="1"/>
        <v>2</v>
      </c>
      <c r="AZ4" s="3">
        <f ca="1"/>
        <v>7</v>
      </c>
      <c r="BA4" s="3">
        <f ca="1"/>
        <v>8</v>
      </c>
    </row>
    <row r="5" spans="9:53" ht="18" customHeight="1" x14ac:dyDescent="0.55000000000000004">
      <c r="I5" s="1" t="s">
        <v>11</v>
      </c>
      <c r="J5" s="1">
        <v>10</v>
      </c>
      <c r="K5" s="1" t="s">
        <v>12</v>
      </c>
      <c r="S5" s="1">
        <v>1</v>
      </c>
      <c r="T5" s="3">
        <f ca="1"/>
        <v>-22845</v>
      </c>
      <c r="U5" s="3">
        <f ca="1"/>
        <v>-31655</v>
      </c>
      <c r="V5" s="3">
        <f ca="1"/>
        <v>-8529</v>
      </c>
      <c r="W5" s="3">
        <f ca="1"/>
        <v>-27036</v>
      </c>
      <c r="X5" s="3">
        <f ca="1"/>
        <v>-9995</v>
      </c>
      <c r="Y5" s="3">
        <f ca="1"/>
        <v>-21904</v>
      </c>
      <c r="Z5" s="3">
        <f ca="1"/>
        <v>12610</v>
      </c>
      <c r="AA5" s="3">
        <f ca="1"/>
        <v>-28208</v>
      </c>
      <c r="AB5" s="3">
        <f ca="1"/>
        <v>2684</v>
      </c>
      <c r="AC5" s="3">
        <f ca="1"/>
        <v>2405</v>
      </c>
      <c r="AE5" s="1">
        <v>1</v>
      </c>
      <c r="AF5" s="3">
        <f ca="1"/>
        <v>-22848</v>
      </c>
      <c r="AG5" s="3">
        <f ca="1"/>
        <v>-31648</v>
      </c>
      <c r="AH5" s="3">
        <f ca="1"/>
        <v>-8528</v>
      </c>
      <c r="AI5" s="3">
        <f ca="1"/>
        <v>-27040</v>
      </c>
      <c r="AJ5" s="3">
        <f ca="1"/>
        <v>-10000</v>
      </c>
      <c r="AK5" s="3">
        <f ca="1"/>
        <v>-21904</v>
      </c>
      <c r="AL5" s="3">
        <f ca="1"/>
        <v>12608</v>
      </c>
      <c r="AM5" s="3">
        <f ca="1"/>
        <v>-28208</v>
      </c>
      <c r="AN5" s="3">
        <f ca="1"/>
        <v>2688</v>
      </c>
      <c r="AO5" s="3">
        <f ca="1"/>
        <v>2400</v>
      </c>
      <c r="AQ5" s="1">
        <v>1</v>
      </c>
      <c r="AR5" s="3">
        <f ca="1"/>
        <v>-3</v>
      </c>
      <c r="AS5" s="3">
        <f ca="1"/>
        <v>7</v>
      </c>
      <c r="AT5" s="3">
        <f ca="1"/>
        <v>1</v>
      </c>
      <c r="AU5" s="3">
        <f ca="1"/>
        <v>-4</v>
      </c>
      <c r="AV5" s="3">
        <f ca="1"/>
        <v>-5</v>
      </c>
      <c r="AW5" s="3">
        <f ca="1"/>
        <v>0</v>
      </c>
      <c r="AX5" s="3">
        <f ca="1"/>
        <v>-2</v>
      </c>
      <c r="AY5" s="3">
        <f ca="1"/>
        <v>0</v>
      </c>
      <c r="AZ5" s="3">
        <f ca="1"/>
        <v>4</v>
      </c>
      <c r="BA5" s="3">
        <f ca="1"/>
        <v>-5</v>
      </c>
    </row>
    <row r="6" spans="9:53" ht="18" customHeight="1" x14ac:dyDescent="0.55000000000000004">
      <c r="I6" s="1" t="s">
        <v>4</v>
      </c>
      <c r="J6" s="1">
        <v>50</v>
      </c>
      <c r="K6" s="1" t="s">
        <v>3</v>
      </c>
      <c r="S6" s="1">
        <v>2</v>
      </c>
      <c r="T6" s="3">
        <f ca="1"/>
        <v>-12778</v>
      </c>
      <c r="U6" s="3">
        <f ca="1"/>
        <v>12119</v>
      </c>
      <c r="V6" s="3">
        <f ca="1"/>
        <v>17775</v>
      </c>
      <c r="W6" s="3">
        <f ca="1"/>
        <v>28247</v>
      </c>
      <c r="X6" s="3">
        <f ca="1"/>
        <v>-8174</v>
      </c>
      <c r="Y6" s="3">
        <f ca="1"/>
        <v>21846</v>
      </c>
      <c r="Z6" s="3">
        <f ca="1"/>
        <v>14297</v>
      </c>
      <c r="AA6" s="3">
        <f ca="1"/>
        <v>-11337</v>
      </c>
      <c r="AB6" s="3">
        <f ca="1"/>
        <v>13589</v>
      </c>
      <c r="AC6" s="3">
        <f ca="1"/>
        <v>24827</v>
      </c>
      <c r="AE6" s="1">
        <v>2</v>
      </c>
      <c r="AF6" s="3">
        <f ca="1"/>
        <v>-12784</v>
      </c>
      <c r="AG6" s="3">
        <f ca="1"/>
        <v>12112</v>
      </c>
      <c r="AH6" s="3">
        <f ca="1"/>
        <v>17776</v>
      </c>
      <c r="AI6" s="3">
        <f ca="1"/>
        <v>28240</v>
      </c>
      <c r="AJ6" s="3">
        <f ca="1"/>
        <v>-8176</v>
      </c>
      <c r="AK6" s="3">
        <f ca="1"/>
        <v>21840</v>
      </c>
      <c r="AL6" s="3">
        <f ca="1"/>
        <v>14304</v>
      </c>
      <c r="AM6" s="3">
        <f ca="1"/>
        <v>-11344</v>
      </c>
      <c r="AN6" s="3">
        <f ca="1"/>
        <v>13584</v>
      </c>
      <c r="AO6" s="3">
        <f ca="1"/>
        <v>24832</v>
      </c>
      <c r="AQ6" s="1">
        <v>2</v>
      </c>
      <c r="AR6" s="3">
        <f ca="1"/>
        <v>-6</v>
      </c>
      <c r="AS6" s="3">
        <f ca="1"/>
        <v>-7</v>
      </c>
      <c r="AT6" s="3">
        <f ca="1"/>
        <v>1</v>
      </c>
      <c r="AU6" s="3">
        <f ca="1"/>
        <v>-7</v>
      </c>
      <c r="AV6" s="3">
        <f ca="1"/>
        <v>-2</v>
      </c>
      <c r="AW6" s="3">
        <f ca="1"/>
        <v>-6</v>
      </c>
      <c r="AX6" s="3">
        <f ca="1"/>
        <v>7</v>
      </c>
      <c r="AY6" s="3">
        <f ca="1"/>
        <v>-7</v>
      </c>
      <c r="AZ6" s="3">
        <f ca="1"/>
        <v>-5</v>
      </c>
      <c r="BA6" s="3">
        <f ca="1"/>
        <v>5</v>
      </c>
    </row>
    <row r="7" spans="9:53" ht="18" customHeight="1" x14ac:dyDescent="0.55000000000000004">
      <c r="S7" s="1">
        <v>3</v>
      </c>
      <c r="T7" s="3">
        <f ca="1"/>
        <v>-634</v>
      </c>
      <c r="U7" s="3">
        <f ca="1"/>
        <v>-2035</v>
      </c>
      <c r="V7" s="3">
        <f ca="1"/>
        <v>-10362</v>
      </c>
      <c r="W7" s="3">
        <f ca="1"/>
        <v>-22621</v>
      </c>
      <c r="X7" s="3">
        <f ca="1"/>
        <v>-17136</v>
      </c>
      <c r="Y7" s="3">
        <f ca="1"/>
        <v>-18814</v>
      </c>
      <c r="Z7" s="3">
        <f ca="1"/>
        <v>-415</v>
      </c>
      <c r="AA7" s="3">
        <f ca="1"/>
        <v>-10218</v>
      </c>
      <c r="AB7" s="3">
        <f ca="1"/>
        <v>23744</v>
      </c>
      <c r="AC7" s="3">
        <f ca="1"/>
        <v>22730</v>
      </c>
      <c r="AE7" s="1">
        <v>3</v>
      </c>
      <c r="AF7" s="3">
        <f ca="1"/>
        <v>-640</v>
      </c>
      <c r="AG7" s="3">
        <f ca="1"/>
        <v>-2032</v>
      </c>
      <c r="AH7" s="3">
        <f ca="1"/>
        <v>-10368</v>
      </c>
      <c r="AI7" s="3">
        <f ca="1"/>
        <v>-22624</v>
      </c>
      <c r="AJ7" s="3">
        <f ca="1"/>
        <v>-17136</v>
      </c>
      <c r="AK7" s="3">
        <f ca="1"/>
        <v>-18816</v>
      </c>
      <c r="AL7" s="3">
        <f ca="1"/>
        <v>-416</v>
      </c>
      <c r="AM7" s="3">
        <f ca="1"/>
        <v>-10224</v>
      </c>
      <c r="AN7" s="3">
        <f ca="1"/>
        <v>23744</v>
      </c>
      <c r="AO7" s="3">
        <f ca="1"/>
        <v>22736</v>
      </c>
      <c r="AQ7" s="1">
        <v>3</v>
      </c>
      <c r="AR7" s="3">
        <f ca="1"/>
        <v>-6</v>
      </c>
      <c r="AS7" s="3">
        <f ca="1"/>
        <v>3</v>
      </c>
      <c r="AT7" s="3">
        <f ca="1"/>
        <v>-6</v>
      </c>
      <c r="AU7" s="3">
        <f ca="1"/>
        <v>-3</v>
      </c>
      <c r="AV7" s="3">
        <f ca="1"/>
        <v>0</v>
      </c>
      <c r="AW7" s="3">
        <f ca="1"/>
        <v>-2</v>
      </c>
      <c r="AX7" s="3">
        <f ca="1"/>
        <v>-1</v>
      </c>
      <c r="AY7" s="3">
        <f ca="1"/>
        <v>-6</v>
      </c>
      <c r="AZ7" s="3">
        <f ca="1"/>
        <v>0</v>
      </c>
      <c r="BA7" s="3">
        <f ca="1"/>
        <v>6</v>
      </c>
    </row>
    <row r="8" spans="9:53" ht="18" customHeight="1" x14ac:dyDescent="0.55000000000000004">
      <c r="S8" s="1">
        <v>4</v>
      </c>
      <c r="T8" s="3">
        <f ca="1"/>
        <v>-8484</v>
      </c>
      <c r="U8" s="3">
        <f ca="1"/>
        <v>-17080</v>
      </c>
      <c r="V8" s="3">
        <f ca="1"/>
        <v>-31236</v>
      </c>
      <c r="W8" s="3">
        <f ca="1"/>
        <v>11752</v>
      </c>
      <c r="X8" s="3">
        <f ca="1"/>
        <v>-16621</v>
      </c>
      <c r="Y8" s="3">
        <f ca="1"/>
        <v>3344</v>
      </c>
      <c r="Z8" s="3">
        <f ca="1"/>
        <v>-7091</v>
      </c>
      <c r="AA8" s="3">
        <f ca="1"/>
        <v>-1567</v>
      </c>
      <c r="AB8" s="3">
        <f ca="1"/>
        <v>-7985</v>
      </c>
      <c r="AC8" s="3">
        <f ca="1"/>
        <v>26970</v>
      </c>
      <c r="AE8" s="1">
        <v>4</v>
      </c>
      <c r="AF8" s="3">
        <f ca="1"/>
        <v>-8480</v>
      </c>
      <c r="AG8" s="3">
        <f ca="1"/>
        <v>-17088</v>
      </c>
      <c r="AH8" s="3">
        <f ca="1"/>
        <v>-31232</v>
      </c>
      <c r="AI8" s="3">
        <f ca="1"/>
        <v>11760</v>
      </c>
      <c r="AJ8" s="3">
        <f ca="1"/>
        <v>-16624</v>
      </c>
      <c r="AK8" s="3">
        <f ca="1"/>
        <v>3344</v>
      </c>
      <c r="AL8" s="3">
        <f ca="1"/>
        <v>-7088</v>
      </c>
      <c r="AM8" s="3">
        <f ca="1"/>
        <v>-1568</v>
      </c>
      <c r="AN8" s="3">
        <f ca="1"/>
        <v>-7984</v>
      </c>
      <c r="AO8" s="3">
        <f ca="1"/>
        <v>26976</v>
      </c>
      <c r="AQ8" s="1">
        <v>4</v>
      </c>
      <c r="AR8" s="3">
        <f ca="1"/>
        <v>4</v>
      </c>
      <c r="AS8" s="3">
        <f ca="1"/>
        <v>-8</v>
      </c>
      <c r="AT8" s="3">
        <f ca="1"/>
        <v>4</v>
      </c>
      <c r="AU8" s="3">
        <f ca="1"/>
        <v>8</v>
      </c>
      <c r="AV8" s="3">
        <f ca="1"/>
        <v>-3</v>
      </c>
      <c r="AW8" s="3">
        <f ca="1"/>
        <v>0</v>
      </c>
      <c r="AX8" s="3">
        <f ca="1"/>
        <v>3</v>
      </c>
      <c r="AY8" s="3">
        <f ca="1"/>
        <v>-1</v>
      </c>
      <c r="AZ8" s="3">
        <f ca="1"/>
        <v>1</v>
      </c>
      <c r="BA8" s="3">
        <f ca="1"/>
        <v>6</v>
      </c>
    </row>
    <row r="9" spans="9:53" ht="18" customHeight="1" x14ac:dyDescent="0.55000000000000004">
      <c r="S9" s="1">
        <v>5</v>
      </c>
      <c r="T9" s="3">
        <f ca="1"/>
        <v>3290</v>
      </c>
      <c r="U9" s="3">
        <f ca="1"/>
        <v>-13131</v>
      </c>
      <c r="V9" s="3">
        <f ca="1"/>
        <v>12066</v>
      </c>
      <c r="W9" s="3">
        <f ca="1"/>
        <v>-30672</v>
      </c>
      <c r="X9" s="3">
        <f ca="1"/>
        <v>16475</v>
      </c>
      <c r="Y9" s="3">
        <f ca="1"/>
        <v>-24354</v>
      </c>
      <c r="Z9" s="3">
        <f ca="1"/>
        <v>5779</v>
      </c>
      <c r="AA9" s="3">
        <f ca="1"/>
        <v>26706</v>
      </c>
      <c r="AB9" s="3">
        <f ca="1"/>
        <v>-6874</v>
      </c>
      <c r="AC9" s="3">
        <f ca="1"/>
        <v>9018</v>
      </c>
      <c r="AE9" s="1">
        <v>5</v>
      </c>
      <c r="AF9" s="3">
        <f ca="1"/>
        <v>3296</v>
      </c>
      <c r="AG9" s="3">
        <f ca="1"/>
        <v>-13136</v>
      </c>
      <c r="AH9" s="3">
        <f ca="1"/>
        <v>12064</v>
      </c>
      <c r="AI9" s="3">
        <f ca="1"/>
        <v>-30672</v>
      </c>
      <c r="AJ9" s="3">
        <f ca="1"/>
        <v>16480</v>
      </c>
      <c r="AK9" s="3">
        <f ca="1"/>
        <v>-24352</v>
      </c>
      <c r="AL9" s="3">
        <f ca="1"/>
        <v>5776</v>
      </c>
      <c r="AM9" s="3">
        <f ca="1"/>
        <v>26704</v>
      </c>
      <c r="AN9" s="3">
        <f ca="1"/>
        <v>-6880</v>
      </c>
      <c r="AO9" s="3">
        <f ca="1"/>
        <v>9024</v>
      </c>
      <c r="AQ9" s="1">
        <v>5</v>
      </c>
      <c r="AR9" s="3">
        <f ca="1"/>
        <v>6</v>
      </c>
      <c r="AS9" s="3">
        <f ca="1"/>
        <v>-5</v>
      </c>
      <c r="AT9" s="3">
        <f ca="1"/>
        <v>-2</v>
      </c>
      <c r="AU9" s="3">
        <f ca="1"/>
        <v>0</v>
      </c>
      <c r="AV9" s="3">
        <f ca="1"/>
        <v>5</v>
      </c>
      <c r="AW9" s="3">
        <f ca="1"/>
        <v>2</v>
      </c>
      <c r="AX9" s="3">
        <f ca="1"/>
        <v>-3</v>
      </c>
      <c r="AY9" s="3">
        <f ca="1"/>
        <v>-2</v>
      </c>
      <c r="AZ9" s="3">
        <f ca="1"/>
        <v>-6</v>
      </c>
      <c r="BA9" s="3">
        <f ca="1"/>
        <v>6</v>
      </c>
    </row>
    <row r="10" spans="9:53" ht="18" customHeight="1" x14ac:dyDescent="0.55000000000000004">
      <c r="S10" s="1">
        <v>6</v>
      </c>
      <c r="T10" s="3">
        <f ca="1"/>
        <v>-19404</v>
      </c>
      <c r="U10" s="3">
        <f ca="1"/>
        <v>-29454</v>
      </c>
      <c r="V10" s="3">
        <f ca="1"/>
        <v>3940</v>
      </c>
      <c r="W10" s="3">
        <f ca="1"/>
        <v>-23684</v>
      </c>
      <c r="X10" s="3">
        <f ca="1"/>
        <v>28038</v>
      </c>
      <c r="Y10" s="3">
        <f ca="1"/>
        <v>14678</v>
      </c>
      <c r="Z10" s="3">
        <f ca="1"/>
        <v>4673</v>
      </c>
      <c r="AA10" s="3">
        <f ca="1"/>
        <v>-26379</v>
      </c>
      <c r="AB10" s="3">
        <f ca="1"/>
        <v>-20594</v>
      </c>
      <c r="AC10" s="3">
        <f ca="1"/>
        <v>22385</v>
      </c>
      <c r="AE10" s="1">
        <v>6</v>
      </c>
      <c r="AF10" s="3">
        <f ca="1"/>
        <v>-19408</v>
      </c>
      <c r="AG10" s="3">
        <f ca="1"/>
        <v>-29456</v>
      </c>
      <c r="AH10" s="3">
        <f ca="1"/>
        <v>3936</v>
      </c>
      <c r="AI10" s="3">
        <f ca="1"/>
        <v>-23680</v>
      </c>
      <c r="AJ10" s="3">
        <f ca="1"/>
        <v>28032</v>
      </c>
      <c r="AK10" s="3">
        <f ca="1"/>
        <v>14672</v>
      </c>
      <c r="AL10" s="3">
        <f ca="1"/>
        <v>4672</v>
      </c>
      <c r="AM10" s="3">
        <f ca="1"/>
        <v>-26384</v>
      </c>
      <c r="AN10" s="3">
        <f ca="1"/>
        <v>-20592</v>
      </c>
      <c r="AO10" s="3">
        <f ca="1"/>
        <v>22384</v>
      </c>
      <c r="AQ10" s="1">
        <v>6</v>
      </c>
      <c r="AR10" s="3">
        <f ca="1"/>
        <v>-4</v>
      </c>
      <c r="AS10" s="3">
        <f ca="1"/>
        <v>-2</v>
      </c>
      <c r="AT10" s="3">
        <f ca="1"/>
        <v>-4</v>
      </c>
      <c r="AU10" s="3">
        <f ca="1"/>
        <v>4</v>
      </c>
      <c r="AV10" s="3">
        <f ca="1"/>
        <v>-6</v>
      </c>
      <c r="AW10" s="3">
        <f ca="1"/>
        <v>-6</v>
      </c>
      <c r="AX10" s="3">
        <f ca="1"/>
        <v>-1</v>
      </c>
      <c r="AY10" s="3">
        <f ca="1"/>
        <v>-5</v>
      </c>
      <c r="AZ10" s="3">
        <f ca="1"/>
        <v>2</v>
      </c>
      <c r="BA10" s="3">
        <f ca="1"/>
        <v>-1</v>
      </c>
    </row>
    <row r="11" spans="9:53" ht="18" customHeight="1" x14ac:dyDescent="0.55000000000000004">
      <c r="S11" s="1">
        <v>7</v>
      </c>
      <c r="T11" s="3">
        <f ca="1"/>
        <v>9461</v>
      </c>
      <c r="U11" s="3">
        <f ca="1"/>
        <v>2449</v>
      </c>
      <c r="V11" s="3">
        <f ca="1"/>
        <v>1397</v>
      </c>
      <c r="W11" s="3">
        <f ca="1"/>
        <v>11283</v>
      </c>
      <c r="X11" s="3">
        <f ca="1"/>
        <v>-5120</v>
      </c>
      <c r="Y11" s="3">
        <f ca="1"/>
        <v>-6183</v>
      </c>
      <c r="Z11" s="3">
        <f ca="1"/>
        <v>-11760</v>
      </c>
      <c r="AA11" s="3">
        <f ca="1"/>
        <v>-21828</v>
      </c>
      <c r="AB11" s="3">
        <f ca="1"/>
        <v>20955</v>
      </c>
      <c r="AC11" s="3">
        <f ca="1"/>
        <v>-5249</v>
      </c>
      <c r="AE11" s="1">
        <v>7</v>
      </c>
      <c r="AF11" s="3">
        <f ca="1"/>
        <v>9456</v>
      </c>
      <c r="AG11" s="3">
        <f ca="1"/>
        <v>2448</v>
      </c>
      <c r="AH11" s="3">
        <f ca="1"/>
        <v>1392</v>
      </c>
      <c r="AI11" s="3">
        <f ca="1"/>
        <v>11280</v>
      </c>
      <c r="AJ11" s="3">
        <f ca="1"/>
        <v>-5120</v>
      </c>
      <c r="AK11" s="3">
        <f ca="1"/>
        <v>-6176</v>
      </c>
      <c r="AL11" s="3">
        <f ca="1"/>
        <v>-11760</v>
      </c>
      <c r="AM11" s="3">
        <f ca="1"/>
        <v>-21824</v>
      </c>
      <c r="AN11" s="3">
        <f ca="1"/>
        <v>20960</v>
      </c>
      <c r="AO11" s="3">
        <f ca="1"/>
        <v>-5248</v>
      </c>
      <c r="AQ11" s="1">
        <v>7</v>
      </c>
      <c r="AR11" s="3">
        <f ca="1"/>
        <v>-5</v>
      </c>
      <c r="AS11" s="3">
        <f ca="1"/>
        <v>-1</v>
      </c>
      <c r="AT11" s="3">
        <f ca="1"/>
        <v>-5</v>
      </c>
      <c r="AU11" s="3">
        <f ca="1"/>
        <v>-3</v>
      </c>
      <c r="AV11" s="3">
        <f ca="1"/>
        <v>0</v>
      </c>
      <c r="AW11" s="3">
        <f ca="1"/>
        <v>7</v>
      </c>
      <c r="AX11" s="3">
        <f ca="1"/>
        <v>0</v>
      </c>
      <c r="AY11" s="3">
        <f ca="1"/>
        <v>4</v>
      </c>
      <c r="AZ11" s="3">
        <f ca="1"/>
        <v>5</v>
      </c>
      <c r="BA11" s="3">
        <f ca="1"/>
        <v>1</v>
      </c>
    </row>
    <row r="12" spans="9:53" ht="18" customHeight="1" x14ac:dyDescent="0.55000000000000004">
      <c r="S12" s="1">
        <v>8</v>
      </c>
      <c r="T12" s="3">
        <f ca="1"/>
        <v>6234</v>
      </c>
      <c r="U12" s="3">
        <f ca="1"/>
        <v>-16503</v>
      </c>
      <c r="V12" s="3">
        <f ca="1"/>
        <v>-14080</v>
      </c>
      <c r="W12" s="3">
        <f ca="1"/>
        <v>-23816</v>
      </c>
      <c r="X12" s="3">
        <f ca="1"/>
        <v>-7884</v>
      </c>
      <c r="Y12" s="3">
        <f ca="1"/>
        <v>-29024</v>
      </c>
      <c r="Z12" s="3">
        <f ca="1"/>
        <v>-28740</v>
      </c>
      <c r="AA12" s="3">
        <f ca="1"/>
        <v>-23852</v>
      </c>
      <c r="AB12" s="3">
        <f ca="1"/>
        <v>-24129</v>
      </c>
      <c r="AC12" s="3">
        <f ca="1"/>
        <v>-14255</v>
      </c>
      <c r="AE12" s="1">
        <v>8</v>
      </c>
      <c r="AF12" s="3">
        <f ca="1"/>
        <v>6240</v>
      </c>
      <c r="AG12" s="3">
        <f ca="1"/>
        <v>-16496</v>
      </c>
      <c r="AH12" s="3">
        <f ca="1"/>
        <v>-14080</v>
      </c>
      <c r="AI12" s="3">
        <f ca="1"/>
        <v>-23824</v>
      </c>
      <c r="AJ12" s="3">
        <f ca="1"/>
        <v>-7888</v>
      </c>
      <c r="AK12" s="3">
        <f ca="1"/>
        <v>-29024</v>
      </c>
      <c r="AL12" s="3">
        <f ca="1"/>
        <v>-28736</v>
      </c>
      <c r="AM12" s="3">
        <f ca="1"/>
        <v>-23856</v>
      </c>
      <c r="AN12" s="3">
        <f ca="1"/>
        <v>-24128</v>
      </c>
      <c r="AO12" s="3">
        <f ca="1"/>
        <v>-14256</v>
      </c>
      <c r="AQ12" s="1">
        <v>8</v>
      </c>
      <c r="AR12" s="3">
        <f ca="1"/>
        <v>6</v>
      </c>
      <c r="AS12" s="3">
        <f ca="1"/>
        <v>7</v>
      </c>
      <c r="AT12" s="3">
        <f ca="1"/>
        <v>0</v>
      </c>
      <c r="AU12" s="3">
        <f ca="1"/>
        <v>-8</v>
      </c>
      <c r="AV12" s="3">
        <f ca="1"/>
        <v>-4</v>
      </c>
      <c r="AW12" s="3">
        <f ca="1"/>
        <v>0</v>
      </c>
      <c r="AX12" s="3">
        <f ca="1"/>
        <v>4</v>
      </c>
      <c r="AY12" s="3">
        <f ca="1"/>
        <v>-4</v>
      </c>
      <c r="AZ12" s="3">
        <f ca="1"/>
        <v>1</v>
      </c>
      <c r="BA12" s="3">
        <f ca="1"/>
        <v>-1</v>
      </c>
    </row>
    <row r="13" spans="9:53" ht="18" customHeight="1" x14ac:dyDescent="0.55000000000000004">
      <c r="S13" s="1">
        <v>9</v>
      </c>
      <c r="T13" s="3">
        <f ca="1"/>
        <v>5544</v>
      </c>
      <c r="U13" s="3">
        <f ca="1"/>
        <v>-3600</v>
      </c>
      <c r="V13" s="3">
        <f ca="1"/>
        <v>2360</v>
      </c>
      <c r="W13" s="3">
        <f ca="1"/>
        <v>8833</v>
      </c>
      <c r="X13" s="3">
        <f ca="1"/>
        <v>-20782</v>
      </c>
      <c r="Y13" s="3">
        <f ca="1"/>
        <v>-5254</v>
      </c>
      <c r="Z13" s="3">
        <f ca="1"/>
        <v>-22629</v>
      </c>
      <c r="AA13" s="3">
        <f ca="1"/>
        <v>-7180</v>
      </c>
      <c r="AB13" s="3">
        <f ca="1"/>
        <v>-15922</v>
      </c>
      <c r="AC13" s="3">
        <f ca="1"/>
        <v>-25723</v>
      </c>
      <c r="AE13" s="1">
        <v>9</v>
      </c>
      <c r="AF13" s="3">
        <f ca="1"/>
        <v>5552</v>
      </c>
      <c r="AG13" s="3">
        <f ca="1"/>
        <v>-3600</v>
      </c>
      <c r="AH13" s="3">
        <f ca="1"/>
        <v>2368</v>
      </c>
      <c r="AI13" s="3">
        <f ca="1"/>
        <v>8832</v>
      </c>
      <c r="AJ13" s="3">
        <f ca="1"/>
        <v>-20784</v>
      </c>
      <c r="AK13" s="3">
        <f ca="1"/>
        <v>-5248</v>
      </c>
      <c r="AL13" s="3">
        <f ca="1"/>
        <v>-22624</v>
      </c>
      <c r="AM13" s="3">
        <f ca="1"/>
        <v>-7184</v>
      </c>
      <c r="AN13" s="3">
        <f ca="1"/>
        <v>-15920</v>
      </c>
      <c r="AO13" s="3">
        <f ca="1"/>
        <v>-25728</v>
      </c>
      <c r="AQ13" s="1">
        <v>9</v>
      </c>
      <c r="AR13" s="3">
        <f ca="1"/>
        <v>8</v>
      </c>
      <c r="AS13" s="3">
        <f ca="1"/>
        <v>0</v>
      </c>
      <c r="AT13" s="3">
        <f ca="1"/>
        <v>8</v>
      </c>
      <c r="AU13" s="3">
        <f ca="1"/>
        <v>-1</v>
      </c>
      <c r="AV13" s="3">
        <f ca="1"/>
        <v>-2</v>
      </c>
      <c r="AW13" s="3">
        <f ca="1"/>
        <v>6</v>
      </c>
      <c r="AX13" s="3">
        <f ca="1"/>
        <v>5</v>
      </c>
      <c r="AY13" s="3">
        <f ca="1"/>
        <v>-4</v>
      </c>
      <c r="AZ13" s="3">
        <f ca="1"/>
        <v>2</v>
      </c>
      <c r="BA13" s="3">
        <f ca="1"/>
        <v>-5</v>
      </c>
    </row>
    <row r="14" spans="9:53" ht="18" customHeight="1" x14ac:dyDescent="0.55000000000000004">
      <c r="S14" s="1">
        <v>10</v>
      </c>
      <c r="T14" s="3">
        <f ca="1"/>
        <v>14260</v>
      </c>
      <c r="U14" s="3">
        <f ca="1"/>
        <v>18899</v>
      </c>
      <c r="V14" s="3">
        <f ca="1"/>
        <v>-21117</v>
      </c>
      <c r="W14" s="3">
        <f ca="1"/>
        <v>22837</v>
      </c>
      <c r="X14" s="3">
        <f ca="1"/>
        <v>-12912</v>
      </c>
      <c r="Y14" s="3">
        <f ca="1"/>
        <v>4230</v>
      </c>
      <c r="Z14" s="3">
        <f ca="1"/>
        <v>-30556</v>
      </c>
      <c r="AA14" s="3">
        <f ca="1"/>
        <v>-29345</v>
      </c>
      <c r="AB14" s="3">
        <f ca="1"/>
        <v>25316</v>
      </c>
      <c r="AC14" s="3">
        <f ca="1"/>
        <v>20359</v>
      </c>
      <c r="AE14" s="1">
        <v>10</v>
      </c>
      <c r="AF14" s="3">
        <f ca="1"/>
        <v>14256</v>
      </c>
      <c r="AG14" s="3">
        <f ca="1"/>
        <v>18896</v>
      </c>
      <c r="AH14" s="3">
        <f ca="1"/>
        <v>-21120</v>
      </c>
      <c r="AI14" s="3">
        <f ca="1"/>
        <v>22832</v>
      </c>
      <c r="AJ14" s="3">
        <f ca="1"/>
        <v>-12912</v>
      </c>
      <c r="AK14" s="3">
        <f ca="1"/>
        <v>4224</v>
      </c>
      <c r="AL14" s="3">
        <f ca="1"/>
        <v>-30560</v>
      </c>
      <c r="AM14" s="3">
        <f ca="1"/>
        <v>-29344</v>
      </c>
      <c r="AN14" s="3">
        <f ca="1"/>
        <v>25312</v>
      </c>
      <c r="AO14" s="3">
        <f ca="1"/>
        <v>20352</v>
      </c>
      <c r="AQ14" s="1">
        <v>10</v>
      </c>
      <c r="AR14" s="3">
        <f ca="1"/>
        <v>-4</v>
      </c>
      <c r="AS14" s="3">
        <f ca="1"/>
        <v>-3</v>
      </c>
      <c r="AT14" s="3">
        <f ca="1"/>
        <v>-3</v>
      </c>
      <c r="AU14" s="3">
        <f ca="1"/>
        <v>-5</v>
      </c>
      <c r="AV14" s="3">
        <f ca="1"/>
        <v>0</v>
      </c>
      <c r="AW14" s="3">
        <f ca="1"/>
        <v>-6</v>
      </c>
      <c r="AX14" s="3">
        <f ca="1"/>
        <v>-4</v>
      </c>
      <c r="AY14" s="3">
        <f ca="1"/>
        <v>1</v>
      </c>
      <c r="AZ14" s="3">
        <f ca="1"/>
        <v>-4</v>
      </c>
      <c r="BA14" s="3">
        <f ca="1"/>
        <v>-7</v>
      </c>
    </row>
    <row r="15" spans="9:53" ht="18" customHeight="1" x14ac:dyDescent="0.55000000000000004">
      <c r="S15" s="1">
        <v>11</v>
      </c>
      <c r="T15" s="3">
        <f ca="1"/>
        <v>19659</v>
      </c>
      <c r="U15" s="3">
        <f ca="1"/>
        <v>-15447</v>
      </c>
      <c r="V15" s="3">
        <f ca="1"/>
        <v>23143</v>
      </c>
      <c r="W15" s="3">
        <f ca="1"/>
        <v>-25687</v>
      </c>
      <c r="X15" s="3">
        <f ca="1"/>
        <v>-22774</v>
      </c>
      <c r="Y15" s="3">
        <f ca="1"/>
        <v>18404</v>
      </c>
      <c r="Z15" s="3">
        <f ca="1"/>
        <v>14812</v>
      </c>
      <c r="AA15" s="3">
        <f ca="1"/>
        <v>29399</v>
      </c>
      <c r="AB15" s="3">
        <f ca="1"/>
        <v>2586</v>
      </c>
      <c r="AC15" s="3">
        <f ca="1"/>
        <v>-24496</v>
      </c>
      <c r="AE15" s="1">
        <v>11</v>
      </c>
      <c r="AF15" s="3">
        <f ca="1"/>
        <v>19664</v>
      </c>
      <c r="AG15" s="3">
        <f ca="1"/>
        <v>-15440</v>
      </c>
      <c r="AH15" s="3">
        <f ca="1"/>
        <v>23136</v>
      </c>
      <c r="AI15" s="3">
        <f ca="1"/>
        <v>-25680</v>
      </c>
      <c r="AJ15" s="3">
        <f ca="1"/>
        <v>-22768</v>
      </c>
      <c r="AK15" s="3">
        <f ca="1"/>
        <v>18400</v>
      </c>
      <c r="AL15" s="3">
        <f ca="1"/>
        <v>14816</v>
      </c>
      <c r="AM15" s="3">
        <f ca="1"/>
        <v>29392</v>
      </c>
      <c r="AN15" s="3">
        <f ca="1"/>
        <v>2592</v>
      </c>
      <c r="AO15" s="3">
        <f ca="1"/>
        <v>-24496</v>
      </c>
      <c r="AQ15" s="1">
        <v>11</v>
      </c>
      <c r="AR15" s="3">
        <f ca="1"/>
        <v>5</v>
      </c>
      <c r="AS15" s="3">
        <f ca="1"/>
        <v>7</v>
      </c>
      <c r="AT15" s="3">
        <f ca="1"/>
        <v>-7</v>
      </c>
      <c r="AU15" s="3">
        <f ca="1"/>
        <v>7</v>
      </c>
      <c r="AV15" s="3">
        <f ca="1"/>
        <v>6</v>
      </c>
      <c r="AW15" s="3">
        <f ca="1"/>
        <v>-4</v>
      </c>
      <c r="AX15" s="3">
        <f ca="1"/>
        <v>4</v>
      </c>
      <c r="AY15" s="3">
        <f ca="1"/>
        <v>-7</v>
      </c>
      <c r="AZ15" s="3">
        <f ca="1"/>
        <v>6</v>
      </c>
      <c r="BA15" s="3">
        <f ca="1"/>
        <v>0</v>
      </c>
    </row>
    <row r="16" spans="9:53" ht="18" customHeight="1" x14ac:dyDescent="0.55000000000000004">
      <c r="S16" s="1">
        <v>12</v>
      </c>
      <c r="T16" s="3">
        <f ca="1"/>
        <v>-25713</v>
      </c>
      <c r="U16" s="3">
        <f ca="1"/>
        <v>12348</v>
      </c>
      <c r="V16" s="3">
        <f ca="1"/>
        <v>31947</v>
      </c>
      <c r="W16" s="3">
        <f ca="1"/>
        <v>-27357</v>
      </c>
      <c r="X16" s="3">
        <f ca="1"/>
        <v>21089</v>
      </c>
      <c r="Y16" s="3">
        <f ca="1"/>
        <v>22549</v>
      </c>
      <c r="Z16" s="3">
        <f ca="1"/>
        <v>21393</v>
      </c>
      <c r="AA16" s="3">
        <f ca="1"/>
        <v>-25445</v>
      </c>
      <c r="AB16" s="3">
        <f ca="1"/>
        <v>1850</v>
      </c>
      <c r="AC16" s="3">
        <f ca="1"/>
        <v>4448</v>
      </c>
      <c r="AE16" s="1">
        <v>12</v>
      </c>
      <c r="AF16" s="3">
        <f ca="1"/>
        <v>-25712</v>
      </c>
      <c r="AG16" s="3">
        <f ca="1"/>
        <v>12352</v>
      </c>
      <c r="AH16" s="3">
        <f ca="1"/>
        <v>31952</v>
      </c>
      <c r="AI16" s="3">
        <f ca="1"/>
        <v>-27360</v>
      </c>
      <c r="AJ16" s="3">
        <f ca="1"/>
        <v>21088</v>
      </c>
      <c r="AK16" s="3">
        <f ca="1"/>
        <v>22544</v>
      </c>
      <c r="AL16" s="3">
        <f ca="1"/>
        <v>21392</v>
      </c>
      <c r="AM16" s="3">
        <f ca="1"/>
        <v>-25440</v>
      </c>
      <c r="AN16" s="3">
        <f ca="1"/>
        <v>1856</v>
      </c>
      <c r="AO16" s="3">
        <f ca="1"/>
        <v>4448</v>
      </c>
      <c r="AQ16" s="1">
        <v>12</v>
      </c>
      <c r="AR16" s="3">
        <f ca="1"/>
        <v>1</v>
      </c>
      <c r="AS16" s="3">
        <f ca="1"/>
        <v>4</v>
      </c>
      <c r="AT16" s="3">
        <f ca="1"/>
        <v>5</v>
      </c>
      <c r="AU16" s="3">
        <f ca="1"/>
        <v>-3</v>
      </c>
      <c r="AV16" s="3">
        <f ca="1"/>
        <v>-1</v>
      </c>
      <c r="AW16" s="3">
        <f ca="1"/>
        <v>-5</v>
      </c>
      <c r="AX16" s="3">
        <f ca="1"/>
        <v>-1</v>
      </c>
      <c r="AY16" s="3">
        <f ca="1"/>
        <v>5</v>
      </c>
      <c r="AZ16" s="3">
        <f ca="1"/>
        <v>6</v>
      </c>
      <c r="BA16" s="3">
        <f ca="1"/>
        <v>0</v>
      </c>
    </row>
    <row r="17" spans="19:53" ht="18" customHeight="1" x14ac:dyDescent="0.55000000000000004">
      <c r="S17" s="1">
        <v>13</v>
      </c>
      <c r="T17" s="3">
        <f ca="1"/>
        <v>6446</v>
      </c>
      <c r="U17" s="3">
        <f ca="1"/>
        <v>32253</v>
      </c>
      <c r="V17" s="3">
        <f ca="1"/>
        <v>-22368</v>
      </c>
      <c r="W17" s="3">
        <f ca="1"/>
        <v>-28312</v>
      </c>
      <c r="X17" s="3">
        <f ca="1"/>
        <v>-17985</v>
      </c>
      <c r="Y17" s="3">
        <f ca="1"/>
        <v>-12140</v>
      </c>
      <c r="Z17" s="3">
        <f ca="1"/>
        <v>17423</v>
      </c>
      <c r="AA17" s="3">
        <f ca="1"/>
        <v>16148</v>
      </c>
      <c r="AB17" s="3">
        <f ca="1"/>
        <v>-8523</v>
      </c>
      <c r="AC17" s="3">
        <f ca="1"/>
        <v>-20888</v>
      </c>
      <c r="AE17" s="1">
        <v>13</v>
      </c>
      <c r="AF17" s="3">
        <f ca="1"/>
        <v>6448</v>
      </c>
      <c r="AG17" s="3">
        <f ca="1"/>
        <v>32256</v>
      </c>
      <c r="AH17" s="3">
        <f ca="1"/>
        <v>-22368</v>
      </c>
      <c r="AI17" s="3">
        <f ca="1"/>
        <v>-28320</v>
      </c>
      <c r="AJ17" s="3">
        <f ca="1"/>
        <v>-17984</v>
      </c>
      <c r="AK17" s="3">
        <f ca="1"/>
        <v>-12144</v>
      </c>
      <c r="AL17" s="3">
        <f ca="1"/>
        <v>17424</v>
      </c>
      <c r="AM17" s="3">
        <f ca="1"/>
        <v>16144</v>
      </c>
      <c r="AN17" s="3">
        <f ca="1"/>
        <v>-8528</v>
      </c>
      <c r="AO17" s="3">
        <f ca="1"/>
        <v>-20896</v>
      </c>
      <c r="AQ17" s="1">
        <v>13</v>
      </c>
      <c r="AR17" s="3">
        <f ca="1"/>
        <v>2</v>
      </c>
      <c r="AS17" s="3">
        <f ca="1"/>
        <v>3</v>
      </c>
      <c r="AT17" s="3">
        <f ca="1"/>
        <v>0</v>
      </c>
      <c r="AU17" s="3">
        <f ca="1"/>
        <v>-8</v>
      </c>
      <c r="AV17" s="3">
        <f ca="1"/>
        <v>1</v>
      </c>
      <c r="AW17" s="3">
        <f ca="1"/>
        <v>-4</v>
      </c>
      <c r="AX17" s="3">
        <f ca="1"/>
        <v>1</v>
      </c>
      <c r="AY17" s="3">
        <f ca="1"/>
        <v>-4</v>
      </c>
      <c r="AZ17" s="3">
        <f ca="1"/>
        <v>-5</v>
      </c>
      <c r="BA17" s="3">
        <f ca="1"/>
        <v>-8</v>
      </c>
    </row>
    <row r="18" spans="19:53" ht="18" customHeight="1" x14ac:dyDescent="0.55000000000000004">
      <c r="S18" s="1">
        <v>14</v>
      </c>
      <c r="T18" s="3">
        <f ca="1"/>
        <v>4179</v>
      </c>
      <c r="U18" s="3">
        <f ca="1"/>
        <v>20766</v>
      </c>
      <c r="V18" s="3">
        <f ca="1"/>
        <v>15932</v>
      </c>
      <c r="W18" s="3">
        <f ca="1"/>
        <v>-24221</v>
      </c>
      <c r="X18" s="3">
        <f ca="1"/>
        <v>8178</v>
      </c>
      <c r="Y18" s="3">
        <f ca="1"/>
        <v>12318</v>
      </c>
      <c r="Z18" s="3">
        <f ca="1"/>
        <v>-18572</v>
      </c>
      <c r="AA18" s="3">
        <f ca="1"/>
        <v>-675</v>
      </c>
      <c r="AB18" s="3">
        <f ca="1"/>
        <v>-28818</v>
      </c>
      <c r="AC18" s="3">
        <f ca="1"/>
        <v>19087</v>
      </c>
      <c r="AE18" s="1">
        <v>14</v>
      </c>
      <c r="AF18" s="3">
        <f ca="1"/>
        <v>4176</v>
      </c>
      <c r="AG18" s="3">
        <f ca="1"/>
        <v>20768</v>
      </c>
      <c r="AH18" s="3">
        <f ca="1"/>
        <v>15936</v>
      </c>
      <c r="AI18" s="3">
        <f ca="1"/>
        <v>-24224</v>
      </c>
      <c r="AJ18" s="3">
        <f ca="1"/>
        <v>8176</v>
      </c>
      <c r="AK18" s="3">
        <f ca="1"/>
        <v>12320</v>
      </c>
      <c r="AL18" s="3">
        <f ca="1"/>
        <v>-18576</v>
      </c>
      <c r="AM18" s="3">
        <f ca="1"/>
        <v>-672</v>
      </c>
      <c r="AN18" s="3">
        <f ca="1"/>
        <v>-28816</v>
      </c>
      <c r="AO18" s="3">
        <f ca="1"/>
        <v>19088</v>
      </c>
      <c r="AQ18" s="1">
        <v>14</v>
      </c>
      <c r="AR18" s="3">
        <f ca="1"/>
        <v>-3</v>
      </c>
      <c r="AS18" s="3">
        <f ca="1"/>
        <v>2</v>
      </c>
      <c r="AT18" s="3">
        <f ca="1"/>
        <v>4</v>
      </c>
      <c r="AU18" s="3">
        <f ca="1"/>
        <v>-3</v>
      </c>
      <c r="AV18" s="3">
        <f ca="1"/>
        <v>-2</v>
      </c>
      <c r="AW18" s="3">
        <f ca="1"/>
        <v>2</v>
      </c>
      <c r="AX18" s="3">
        <f ca="1"/>
        <v>-4</v>
      </c>
      <c r="AY18" s="3">
        <f ca="1"/>
        <v>3</v>
      </c>
      <c r="AZ18" s="3">
        <f ca="1"/>
        <v>2</v>
      </c>
      <c r="BA18" s="3">
        <f ca="1"/>
        <v>1</v>
      </c>
    </row>
    <row r="19" spans="19:53" ht="18" customHeight="1" x14ac:dyDescent="0.55000000000000004">
      <c r="S19" s="1">
        <v>15</v>
      </c>
      <c r="T19" s="3">
        <f ca="1"/>
        <v>-28980</v>
      </c>
      <c r="U19" s="3">
        <f ca="1"/>
        <v>-7080</v>
      </c>
      <c r="V19" s="3">
        <f ca="1"/>
        <v>26539</v>
      </c>
      <c r="W19" s="3">
        <f ca="1"/>
        <v>-13685</v>
      </c>
      <c r="X19" s="3">
        <f ca="1"/>
        <v>28458</v>
      </c>
      <c r="Y19" s="3">
        <f ca="1"/>
        <v>25448</v>
      </c>
      <c r="Z19" s="3">
        <f ca="1"/>
        <v>-13880</v>
      </c>
      <c r="AA19" s="3">
        <f ca="1"/>
        <v>15643</v>
      </c>
      <c r="AB19" s="3">
        <f ca="1"/>
        <v>-15971</v>
      </c>
      <c r="AC19" s="3">
        <f ca="1"/>
        <v>2997</v>
      </c>
      <c r="AE19" s="1">
        <v>15</v>
      </c>
      <c r="AF19" s="3">
        <f ca="1"/>
        <v>-28976</v>
      </c>
      <c r="AG19" s="3">
        <f ca="1"/>
        <v>-7088</v>
      </c>
      <c r="AH19" s="3">
        <f ca="1"/>
        <v>26544</v>
      </c>
      <c r="AI19" s="3">
        <f ca="1"/>
        <v>-13680</v>
      </c>
      <c r="AJ19" s="3">
        <f ca="1"/>
        <v>28464</v>
      </c>
      <c r="AK19" s="3">
        <f ca="1"/>
        <v>25456</v>
      </c>
      <c r="AL19" s="3">
        <f ca="1"/>
        <v>-13888</v>
      </c>
      <c r="AM19" s="3">
        <f ca="1"/>
        <v>15648</v>
      </c>
      <c r="AN19" s="3">
        <f ca="1"/>
        <v>-15968</v>
      </c>
      <c r="AO19" s="3">
        <f ca="1"/>
        <v>2992</v>
      </c>
      <c r="AQ19" s="1">
        <v>15</v>
      </c>
      <c r="AR19" s="3">
        <f ca="1"/>
        <v>4</v>
      </c>
      <c r="AS19" s="3">
        <f ca="1"/>
        <v>-8</v>
      </c>
      <c r="AT19" s="3">
        <f ca="1"/>
        <v>5</v>
      </c>
      <c r="AU19" s="3">
        <f ca="1"/>
        <v>5</v>
      </c>
      <c r="AV19" s="3">
        <f ca="1"/>
        <v>6</v>
      </c>
      <c r="AW19" s="3">
        <f ca="1"/>
        <v>8</v>
      </c>
      <c r="AX19" s="3">
        <f ca="1"/>
        <v>-8</v>
      </c>
      <c r="AY19" s="3">
        <f ca="1"/>
        <v>5</v>
      </c>
      <c r="AZ19" s="3">
        <f ca="1"/>
        <v>3</v>
      </c>
      <c r="BA19" s="3">
        <f ca="1"/>
        <v>-5</v>
      </c>
    </row>
    <row r="20" spans="19:53" ht="18" customHeight="1" x14ac:dyDescent="0.55000000000000004">
      <c r="S20" s="1">
        <v>16</v>
      </c>
      <c r="T20" s="3">
        <f ca="1"/>
        <v>6575</v>
      </c>
      <c r="U20" s="3">
        <f ca="1"/>
        <v>-11881</v>
      </c>
      <c r="V20" s="3">
        <f ca="1"/>
        <v>-16205</v>
      </c>
      <c r="W20" s="3">
        <f ca="1"/>
        <v>10901</v>
      </c>
      <c r="X20" s="3">
        <f ca="1"/>
        <v>6442</v>
      </c>
      <c r="Y20" s="3">
        <f ca="1"/>
        <v>-12666</v>
      </c>
      <c r="Z20" s="3">
        <f ca="1"/>
        <v>-8348</v>
      </c>
      <c r="AA20" s="3">
        <f ca="1"/>
        <v>-29776</v>
      </c>
      <c r="AB20" s="3">
        <f ca="1"/>
        <v>3024</v>
      </c>
      <c r="AC20" s="3">
        <f ca="1"/>
        <v>3205</v>
      </c>
      <c r="AE20" s="1">
        <v>16</v>
      </c>
      <c r="AF20" s="3">
        <f ca="1"/>
        <v>6576</v>
      </c>
      <c r="AG20" s="3">
        <f ca="1"/>
        <v>-11888</v>
      </c>
      <c r="AH20" s="3">
        <f ca="1"/>
        <v>-16208</v>
      </c>
      <c r="AI20" s="3">
        <f ca="1"/>
        <v>10896</v>
      </c>
      <c r="AJ20" s="3">
        <f ca="1"/>
        <v>6448</v>
      </c>
      <c r="AK20" s="3">
        <f ca="1"/>
        <v>-12672</v>
      </c>
      <c r="AL20" s="3">
        <f ca="1"/>
        <v>-8352</v>
      </c>
      <c r="AM20" s="3">
        <f ca="1"/>
        <v>-29776</v>
      </c>
      <c r="AN20" s="3">
        <f ca="1"/>
        <v>3024</v>
      </c>
      <c r="AO20" s="3">
        <f ca="1"/>
        <v>3200</v>
      </c>
      <c r="AQ20" s="1">
        <v>16</v>
      </c>
      <c r="AR20" s="3">
        <f ca="1"/>
        <v>1</v>
      </c>
      <c r="AS20" s="3">
        <f ca="1"/>
        <v>-7</v>
      </c>
      <c r="AT20" s="3">
        <f ca="1"/>
        <v>-3</v>
      </c>
      <c r="AU20" s="3">
        <f ca="1"/>
        <v>-5</v>
      </c>
      <c r="AV20" s="3">
        <f ca="1"/>
        <v>6</v>
      </c>
      <c r="AW20" s="3">
        <f ca="1"/>
        <v>-6</v>
      </c>
      <c r="AX20" s="3">
        <f ca="1"/>
        <v>-4</v>
      </c>
      <c r="AY20" s="3">
        <f ca="1"/>
        <v>0</v>
      </c>
      <c r="AZ20" s="3">
        <f ca="1"/>
        <v>0</v>
      </c>
      <c r="BA20" s="3">
        <f ca="1"/>
        <v>-5</v>
      </c>
    </row>
    <row r="21" spans="19:53" ht="18" customHeight="1" x14ac:dyDescent="0.55000000000000004">
      <c r="S21" s="1">
        <v>17</v>
      </c>
      <c r="T21" s="3">
        <f ca="1"/>
        <v>-17361</v>
      </c>
      <c r="U21" s="3">
        <f ca="1"/>
        <v>-2235</v>
      </c>
      <c r="V21" s="3">
        <f ca="1"/>
        <v>-27982</v>
      </c>
      <c r="W21" s="3">
        <f ca="1"/>
        <v>19025</v>
      </c>
      <c r="X21" s="3">
        <f ca="1"/>
        <v>12764</v>
      </c>
      <c r="Y21" s="3">
        <f ca="1"/>
        <v>1671</v>
      </c>
      <c r="Z21" s="3">
        <f ca="1"/>
        <v>1929</v>
      </c>
      <c r="AA21" s="3">
        <f ca="1"/>
        <v>-27890</v>
      </c>
      <c r="AB21" s="3">
        <f ca="1"/>
        <v>-4658</v>
      </c>
      <c r="AC21" s="3">
        <f ca="1"/>
        <v>-11250</v>
      </c>
      <c r="AE21" s="1">
        <v>17</v>
      </c>
      <c r="AF21" s="3">
        <f ca="1"/>
        <v>-17360</v>
      </c>
      <c r="AG21" s="3">
        <f ca="1"/>
        <v>-2240</v>
      </c>
      <c r="AH21" s="3">
        <f ca="1"/>
        <v>-27984</v>
      </c>
      <c r="AI21" s="3">
        <f ca="1"/>
        <v>19024</v>
      </c>
      <c r="AJ21" s="3">
        <f ca="1"/>
        <v>12768</v>
      </c>
      <c r="AK21" s="3">
        <f ca="1"/>
        <v>1664</v>
      </c>
      <c r="AL21" s="3">
        <f ca="1"/>
        <v>1936</v>
      </c>
      <c r="AM21" s="3">
        <f ca="1"/>
        <v>-27888</v>
      </c>
      <c r="AN21" s="3">
        <f ca="1"/>
        <v>-4656</v>
      </c>
      <c r="AO21" s="3">
        <f ca="1"/>
        <v>-11248</v>
      </c>
      <c r="AQ21" s="1">
        <v>17</v>
      </c>
      <c r="AR21" s="3">
        <f ca="1"/>
        <v>1</v>
      </c>
      <c r="AS21" s="3">
        <f ca="1"/>
        <v>-5</v>
      </c>
      <c r="AT21" s="3">
        <f ca="1"/>
        <v>-2</v>
      </c>
      <c r="AU21" s="3">
        <f ca="1"/>
        <v>-1</v>
      </c>
      <c r="AV21" s="3">
        <f ca="1"/>
        <v>4</v>
      </c>
      <c r="AW21" s="3">
        <f ca="1"/>
        <v>-7</v>
      </c>
      <c r="AX21" s="3">
        <f ca="1"/>
        <v>7</v>
      </c>
      <c r="AY21" s="3">
        <f ca="1"/>
        <v>2</v>
      </c>
      <c r="AZ21" s="3">
        <f ca="1"/>
        <v>2</v>
      </c>
      <c r="BA21" s="3">
        <f ca="1"/>
        <v>2</v>
      </c>
    </row>
    <row r="22" spans="19:53" ht="18" customHeight="1" x14ac:dyDescent="0.55000000000000004">
      <c r="S22" s="1">
        <v>18</v>
      </c>
      <c r="T22" s="3">
        <f ca="1"/>
        <v>-12420</v>
      </c>
      <c r="U22" s="3">
        <f ca="1"/>
        <v>-7781</v>
      </c>
      <c r="V22" s="3">
        <f ca="1"/>
        <v>19041</v>
      </c>
      <c r="W22" s="3">
        <f ca="1"/>
        <v>29600</v>
      </c>
      <c r="X22" s="3">
        <f ca="1"/>
        <v>-31269</v>
      </c>
      <c r="Y22" s="3">
        <f ca="1"/>
        <v>-19798</v>
      </c>
      <c r="Z22" s="3">
        <f ca="1"/>
        <v>-31347</v>
      </c>
      <c r="AA22" s="3">
        <f ca="1"/>
        <v>17919</v>
      </c>
      <c r="AB22" s="3">
        <f ca="1"/>
        <v>-9131</v>
      </c>
      <c r="AC22" s="3">
        <f ca="1"/>
        <v>-8083</v>
      </c>
      <c r="AE22" s="1">
        <v>18</v>
      </c>
      <c r="AF22" s="3">
        <f ca="1"/>
        <v>-12416</v>
      </c>
      <c r="AG22" s="3">
        <f ca="1"/>
        <v>-7776</v>
      </c>
      <c r="AH22" s="3">
        <f ca="1"/>
        <v>19040</v>
      </c>
      <c r="AI22" s="3">
        <f ca="1"/>
        <v>29600</v>
      </c>
      <c r="AJ22" s="3">
        <f ca="1"/>
        <v>-31264</v>
      </c>
      <c r="AK22" s="3">
        <f ca="1"/>
        <v>-19792</v>
      </c>
      <c r="AL22" s="3">
        <f ca="1"/>
        <v>-31344</v>
      </c>
      <c r="AM22" s="3">
        <f ca="1"/>
        <v>17920</v>
      </c>
      <c r="AN22" s="3">
        <f ca="1"/>
        <v>-9136</v>
      </c>
      <c r="AO22" s="3">
        <f ca="1"/>
        <v>-8080</v>
      </c>
      <c r="AQ22" s="1">
        <v>18</v>
      </c>
      <c r="AR22" s="3">
        <f ca="1"/>
        <v>4</v>
      </c>
      <c r="AS22" s="3">
        <f ca="1"/>
        <v>5</v>
      </c>
      <c r="AT22" s="3">
        <f ca="1"/>
        <v>-1</v>
      </c>
      <c r="AU22" s="3">
        <f ca="1"/>
        <v>0</v>
      </c>
      <c r="AV22" s="3">
        <f ca="1"/>
        <v>5</v>
      </c>
      <c r="AW22" s="3">
        <f ca="1"/>
        <v>6</v>
      </c>
      <c r="AX22" s="3">
        <f ca="1"/>
        <v>3</v>
      </c>
      <c r="AY22" s="3">
        <f ca="1"/>
        <v>1</v>
      </c>
      <c r="AZ22" s="3">
        <f ca="1"/>
        <v>-5</v>
      </c>
      <c r="BA22" s="3">
        <f ca="1"/>
        <v>3</v>
      </c>
    </row>
    <row r="23" spans="19:53" ht="18" customHeight="1" x14ac:dyDescent="0.55000000000000004">
      <c r="S23" s="1">
        <v>19</v>
      </c>
      <c r="T23" s="3">
        <f ca="1"/>
        <v>-19777</v>
      </c>
      <c r="U23" s="3">
        <f ca="1"/>
        <v>15533</v>
      </c>
      <c r="V23" s="3">
        <f ca="1"/>
        <v>6076</v>
      </c>
      <c r="W23" s="3">
        <f ca="1"/>
        <v>-6562</v>
      </c>
      <c r="X23" s="3">
        <f ca="1"/>
        <v>17334</v>
      </c>
      <c r="Y23" s="3">
        <f ca="1"/>
        <v>7190</v>
      </c>
      <c r="Z23" s="3">
        <f ca="1"/>
        <v>18400</v>
      </c>
      <c r="AA23" s="3">
        <f ca="1"/>
        <v>22344</v>
      </c>
      <c r="AB23" s="3">
        <f ca="1"/>
        <v>3736</v>
      </c>
      <c r="AC23" s="3">
        <f ca="1"/>
        <v>-11221</v>
      </c>
      <c r="AE23" s="1">
        <v>19</v>
      </c>
      <c r="AF23" s="3">
        <f ca="1"/>
        <v>-19776</v>
      </c>
      <c r="AG23" s="3">
        <f ca="1"/>
        <v>15536</v>
      </c>
      <c r="AH23" s="3">
        <f ca="1"/>
        <v>6080</v>
      </c>
      <c r="AI23" s="3">
        <f ca="1"/>
        <v>-6560</v>
      </c>
      <c r="AJ23" s="3">
        <f ca="1"/>
        <v>17328</v>
      </c>
      <c r="AK23" s="3">
        <f ca="1"/>
        <v>7184</v>
      </c>
      <c r="AL23" s="3">
        <f ca="1"/>
        <v>18400</v>
      </c>
      <c r="AM23" s="3">
        <f ca="1"/>
        <v>22352</v>
      </c>
      <c r="AN23" s="3">
        <f ca="1"/>
        <v>3744</v>
      </c>
      <c r="AO23" s="3">
        <f ca="1"/>
        <v>-11216</v>
      </c>
      <c r="AQ23" s="1">
        <v>19</v>
      </c>
      <c r="AR23" s="3">
        <f ca="1"/>
        <v>1</v>
      </c>
      <c r="AS23" s="3">
        <f ca="1"/>
        <v>3</v>
      </c>
      <c r="AT23" s="3">
        <f ca="1"/>
        <v>4</v>
      </c>
      <c r="AU23" s="3">
        <f ca="1"/>
        <v>2</v>
      </c>
      <c r="AV23" s="3">
        <f ca="1"/>
        <v>-6</v>
      </c>
      <c r="AW23" s="3">
        <f ca="1"/>
        <v>-6</v>
      </c>
      <c r="AX23" s="3">
        <f ca="1"/>
        <v>0</v>
      </c>
      <c r="AY23" s="3">
        <f ca="1"/>
        <v>8</v>
      </c>
      <c r="AZ23" s="3">
        <f ca="1"/>
        <v>8</v>
      </c>
      <c r="BA23" s="3">
        <f ca="1"/>
        <v>5</v>
      </c>
    </row>
    <row r="24" spans="19:53" ht="18" customHeight="1" x14ac:dyDescent="0.55000000000000004">
      <c r="S24" s="1">
        <v>20</v>
      </c>
      <c r="T24" s="3">
        <f ca="1"/>
        <v>-176</v>
      </c>
      <c r="U24" s="3">
        <f ca="1"/>
        <v>-10977</v>
      </c>
      <c r="V24" s="3">
        <f ca="1"/>
        <v>-2712</v>
      </c>
      <c r="W24" s="3">
        <f ca="1"/>
        <v>-28085</v>
      </c>
      <c r="X24" s="3">
        <f ca="1"/>
        <v>11801</v>
      </c>
      <c r="Y24" s="3">
        <f ca="1"/>
        <v>26647</v>
      </c>
      <c r="Z24" s="3">
        <f ca="1"/>
        <v>-21017</v>
      </c>
      <c r="AA24" s="3">
        <f ca="1"/>
        <v>-23391</v>
      </c>
      <c r="AB24" s="3">
        <f ca="1"/>
        <v>2934</v>
      </c>
      <c r="AC24" s="3">
        <f ca="1"/>
        <v>29678</v>
      </c>
      <c r="AE24" s="1">
        <v>20</v>
      </c>
      <c r="AF24" s="3">
        <f ca="1"/>
        <v>-176</v>
      </c>
      <c r="AG24" s="3">
        <f ca="1"/>
        <v>-10976</v>
      </c>
      <c r="AH24" s="3">
        <f ca="1"/>
        <v>-2720</v>
      </c>
      <c r="AI24" s="3">
        <f ca="1"/>
        <v>-28080</v>
      </c>
      <c r="AJ24" s="3">
        <f ca="1"/>
        <v>11808</v>
      </c>
      <c r="AK24" s="3">
        <f ca="1"/>
        <v>26640</v>
      </c>
      <c r="AL24" s="3">
        <f ca="1"/>
        <v>-21024</v>
      </c>
      <c r="AM24" s="3">
        <f ca="1"/>
        <v>-23392</v>
      </c>
      <c r="AN24" s="3">
        <f ca="1"/>
        <v>2928</v>
      </c>
      <c r="AO24" s="3">
        <f ca="1"/>
        <v>29680</v>
      </c>
      <c r="AQ24" s="1">
        <v>20</v>
      </c>
      <c r="AR24" s="1">
        <f ca="1"/>
        <v>0</v>
      </c>
      <c r="AS24" s="1">
        <f ca="1"/>
        <v>1</v>
      </c>
      <c r="AT24" s="1">
        <f ca="1"/>
        <v>-8</v>
      </c>
      <c r="AU24" s="1">
        <f ca="1"/>
        <v>5</v>
      </c>
      <c r="AV24" s="1">
        <f ca="1"/>
        <v>7</v>
      </c>
      <c r="AW24" s="1">
        <f ca="1"/>
        <v>-7</v>
      </c>
      <c r="AX24" s="1">
        <f ca="1"/>
        <v>-7</v>
      </c>
      <c r="AY24" s="1">
        <f ca="1"/>
        <v>-1</v>
      </c>
      <c r="AZ24" s="1">
        <f ca="1"/>
        <v>-6</v>
      </c>
      <c r="BA24" s="1">
        <f ca="1"/>
        <v>2</v>
      </c>
    </row>
    <row r="25" spans="19:53" ht="18" customHeight="1" x14ac:dyDescent="0.55000000000000004">
      <c r="S25" s="1">
        <v>21</v>
      </c>
      <c r="T25" s="3">
        <f ca="1"/>
        <v>-15013</v>
      </c>
      <c r="U25" s="3">
        <f ca="1"/>
        <v>7649</v>
      </c>
      <c r="V25" s="3">
        <f ca="1"/>
        <v>-7113</v>
      </c>
      <c r="W25" s="3">
        <f ca="1"/>
        <v>3919</v>
      </c>
      <c r="X25" s="3">
        <f ca="1"/>
        <v>10298</v>
      </c>
      <c r="Y25" s="3">
        <f ca="1"/>
        <v>15035</v>
      </c>
      <c r="Z25" s="3">
        <f ca="1"/>
        <v>-27880</v>
      </c>
      <c r="AA25" s="3">
        <f ca="1"/>
        <v>-22618</v>
      </c>
      <c r="AB25" s="3">
        <f ca="1"/>
        <v>25748</v>
      </c>
      <c r="AC25" s="3">
        <f ca="1"/>
        <v>22899</v>
      </c>
      <c r="AE25" s="1">
        <v>21</v>
      </c>
      <c r="AF25" s="3">
        <f ca="1"/>
        <v>-15008</v>
      </c>
      <c r="AG25" s="3">
        <f ca="1"/>
        <v>7648</v>
      </c>
      <c r="AH25" s="3">
        <f ca="1"/>
        <v>-7120</v>
      </c>
      <c r="AI25" s="3">
        <f ca="1"/>
        <v>3920</v>
      </c>
      <c r="AJ25" s="3">
        <f ca="1"/>
        <v>10304</v>
      </c>
      <c r="AK25" s="3">
        <f ca="1"/>
        <v>15040</v>
      </c>
      <c r="AL25" s="3">
        <f ca="1"/>
        <v>-27888</v>
      </c>
      <c r="AM25" s="3">
        <f ca="1"/>
        <v>-22624</v>
      </c>
      <c r="AN25" s="3">
        <f ca="1"/>
        <v>25744</v>
      </c>
      <c r="AO25" s="3">
        <f ca="1"/>
        <v>22896</v>
      </c>
      <c r="AQ25" s="1">
        <v>21</v>
      </c>
      <c r="AR25" s="1">
        <f ca="1"/>
        <v>5</v>
      </c>
      <c r="AS25" s="1">
        <f ca="1"/>
        <v>-1</v>
      </c>
      <c r="AT25" s="1">
        <f ca="1"/>
        <v>-7</v>
      </c>
      <c r="AU25" s="1">
        <f ca="1"/>
        <v>1</v>
      </c>
      <c r="AV25" s="1">
        <f ca="1"/>
        <v>6</v>
      </c>
      <c r="AW25" s="1">
        <f ca="1"/>
        <v>5</v>
      </c>
      <c r="AX25" s="1">
        <f ca="1"/>
        <v>-8</v>
      </c>
      <c r="AY25" s="1">
        <f ca="1"/>
        <v>-6</v>
      </c>
      <c r="AZ25" s="1">
        <f ca="1"/>
        <v>-4</v>
      </c>
      <c r="BA25" s="1">
        <f ca="1"/>
        <v>-3</v>
      </c>
    </row>
    <row r="26" spans="19:53" ht="18" customHeight="1" x14ac:dyDescent="0.55000000000000004">
      <c r="S26" s="1">
        <v>22</v>
      </c>
      <c r="T26" s="3">
        <f ca="1"/>
        <v>-22295</v>
      </c>
      <c r="U26" s="3">
        <f ca="1"/>
        <v>-27676</v>
      </c>
      <c r="V26" s="3">
        <f ca="1"/>
        <v>24039</v>
      </c>
      <c r="W26" s="3">
        <f ca="1"/>
        <v>6350</v>
      </c>
      <c r="X26" s="3">
        <f ca="1"/>
        <v>23809</v>
      </c>
      <c r="Y26" s="3">
        <f ca="1"/>
        <v>-25473</v>
      </c>
      <c r="Z26" s="3">
        <f ca="1"/>
        <v>-23718</v>
      </c>
      <c r="AA26" s="3">
        <f ca="1"/>
        <v>-16120</v>
      </c>
      <c r="AB26" s="3">
        <f ca="1"/>
        <v>24757</v>
      </c>
      <c r="AC26" s="3">
        <f ca="1"/>
        <v>21592</v>
      </c>
      <c r="AE26" s="1">
        <v>22</v>
      </c>
      <c r="AF26" s="3">
        <f ca="1"/>
        <v>-22288</v>
      </c>
      <c r="AG26" s="3">
        <f ca="1"/>
        <v>-27680</v>
      </c>
      <c r="AH26" s="3">
        <f ca="1"/>
        <v>24032</v>
      </c>
      <c r="AI26" s="3">
        <f ca="1"/>
        <v>6352</v>
      </c>
      <c r="AJ26" s="3">
        <f ca="1"/>
        <v>23808</v>
      </c>
      <c r="AK26" s="3">
        <f ca="1"/>
        <v>-25472</v>
      </c>
      <c r="AL26" s="3">
        <f ca="1"/>
        <v>-23712</v>
      </c>
      <c r="AM26" s="3">
        <f ca="1"/>
        <v>-16128</v>
      </c>
      <c r="AN26" s="3">
        <f ca="1"/>
        <v>24752</v>
      </c>
      <c r="AO26" s="3">
        <f ca="1"/>
        <v>21600</v>
      </c>
      <c r="AQ26" s="1">
        <v>22</v>
      </c>
      <c r="AR26" s="1">
        <f ca="1"/>
        <v>7</v>
      </c>
      <c r="AS26" s="1">
        <f ca="1"/>
        <v>-4</v>
      </c>
      <c r="AT26" s="1">
        <f ca="1"/>
        <v>-7</v>
      </c>
      <c r="AU26" s="1">
        <f ca="1"/>
        <v>2</v>
      </c>
      <c r="AV26" s="1">
        <f ca="1"/>
        <v>-1</v>
      </c>
      <c r="AW26" s="1">
        <f ca="1"/>
        <v>1</v>
      </c>
      <c r="AX26" s="1">
        <f ca="1"/>
        <v>6</v>
      </c>
      <c r="AY26" s="1">
        <f ca="1"/>
        <v>-8</v>
      </c>
      <c r="AZ26" s="1">
        <f ca="1"/>
        <v>-5</v>
      </c>
      <c r="BA26" s="1">
        <f ca="1"/>
        <v>8</v>
      </c>
    </row>
    <row r="27" spans="19:53" ht="18" customHeight="1" x14ac:dyDescent="0.55000000000000004">
      <c r="S27" s="1">
        <v>23</v>
      </c>
      <c r="T27" s="3">
        <f ca="1"/>
        <v>10401</v>
      </c>
      <c r="U27" s="3">
        <f ca="1"/>
        <v>-6816</v>
      </c>
      <c r="V27" s="3">
        <f ca="1"/>
        <v>-5555</v>
      </c>
      <c r="W27" s="3">
        <f ca="1"/>
        <v>-16446</v>
      </c>
      <c r="X27" s="3">
        <f ca="1"/>
        <v>32705</v>
      </c>
      <c r="Y27" s="3">
        <f ca="1"/>
        <v>-7001</v>
      </c>
      <c r="Z27" s="3">
        <f ca="1"/>
        <v>6769</v>
      </c>
      <c r="AA27" s="3">
        <f ca="1"/>
        <v>14372</v>
      </c>
      <c r="AB27" s="3">
        <f ca="1"/>
        <v>-3918</v>
      </c>
      <c r="AC27" s="3">
        <f ca="1"/>
        <v>-3436</v>
      </c>
      <c r="AE27" s="1">
        <v>23</v>
      </c>
      <c r="AF27" s="3">
        <f ca="1"/>
        <v>10400</v>
      </c>
      <c r="AG27" s="3">
        <f ca="1"/>
        <v>-6816</v>
      </c>
      <c r="AH27" s="3">
        <f ca="1"/>
        <v>-5552</v>
      </c>
      <c r="AI27" s="3">
        <f ca="1"/>
        <v>-16448</v>
      </c>
      <c r="AJ27" s="3">
        <f ca="1"/>
        <v>32704</v>
      </c>
      <c r="AK27" s="3">
        <f ca="1"/>
        <v>-7008</v>
      </c>
      <c r="AL27" s="3">
        <f ca="1"/>
        <v>6768</v>
      </c>
      <c r="AM27" s="3">
        <f ca="1"/>
        <v>14368</v>
      </c>
      <c r="AN27" s="3">
        <f ca="1"/>
        <v>-3920</v>
      </c>
      <c r="AO27" s="3">
        <f ca="1"/>
        <v>-3440</v>
      </c>
      <c r="AQ27" s="1">
        <v>23</v>
      </c>
      <c r="AR27" s="1">
        <f ca="1"/>
        <v>-1</v>
      </c>
      <c r="AS27" s="1">
        <f ca="1"/>
        <v>0</v>
      </c>
      <c r="AT27" s="1">
        <f ca="1"/>
        <v>3</v>
      </c>
      <c r="AU27" s="1">
        <f ca="1"/>
        <v>-2</v>
      </c>
      <c r="AV27" s="1">
        <f ca="1"/>
        <v>-1</v>
      </c>
      <c r="AW27" s="1">
        <f ca="1"/>
        <v>-7</v>
      </c>
      <c r="AX27" s="1">
        <f ca="1"/>
        <v>-1</v>
      </c>
      <c r="AY27" s="1">
        <f ca="1"/>
        <v>-4</v>
      </c>
      <c r="AZ27" s="1">
        <f ca="1"/>
        <v>-2</v>
      </c>
      <c r="BA27" s="1">
        <f ca="1"/>
        <v>-4</v>
      </c>
    </row>
    <row r="28" spans="19:53" ht="18" customHeight="1" x14ac:dyDescent="0.55000000000000004">
      <c r="S28" s="1">
        <v>24</v>
      </c>
      <c r="T28" s="3">
        <f ca="1"/>
        <v>22141</v>
      </c>
      <c r="U28" s="3">
        <f ca="1"/>
        <v>15923</v>
      </c>
      <c r="V28" s="3">
        <f ca="1"/>
        <v>11932</v>
      </c>
      <c r="W28" s="3">
        <f ca="1"/>
        <v>15519</v>
      </c>
      <c r="X28" s="3">
        <f ca="1"/>
        <v>30617</v>
      </c>
      <c r="Y28" s="3">
        <f ca="1"/>
        <v>-13854</v>
      </c>
      <c r="Z28" s="3">
        <f ca="1"/>
        <v>-10210</v>
      </c>
      <c r="AA28" s="3">
        <f ca="1"/>
        <v>1042</v>
      </c>
      <c r="AB28" s="3">
        <f ca="1"/>
        <v>-9816</v>
      </c>
      <c r="AC28" s="3">
        <f ca="1"/>
        <v>1216</v>
      </c>
      <c r="AE28" s="1">
        <v>24</v>
      </c>
      <c r="AF28" s="3">
        <f ca="1"/>
        <v>22144</v>
      </c>
      <c r="AG28" s="3">
        <f ca="1"/>
        <v>15920</v>
      </c>
      <c r="AH28" s="3">
        <f ca="1"/>
        <v>11936</v>
      </c>
      <c r="AI28" s="3">
        <f ca="1"/>
        <v>15520</v>
      </c>
      <c r="AJ28" s="3">
        <f ca="1"/>
        <v>30624</v>
      </c>
      <c r="AK28" s="3">
        <f ca="1"/>
        <v>-13856</v>
      </c>
      <c r="AL28" s="3">
        <f ca="1"/>
        <v>-10208</v>
      </c>
      <c r="AM28" s="3">
        <f ca="1"/>
        <v>1040</v>
      </c>
      <c r="AN28" s="3">
        <f ca="1"/>
        <v>-9824</v>
      </c>
      <c r="AO28" s="3">
        <f ca="1"/>
        <v>1216</v>
      </c>
      <c r="AQ28" s="1">
        <v>24</v>
      </c>
      <c r="AR28" s="1">
        <f ca="1"/>
        <v>3</v>
      </c>
      <c r="AS28" s="1">
        <f ca="1"/>
        <v>-3</v>
      </c>
      <c r="AT28" s="1">
        <f ca="1"/>
        <v>4</v>
      </c>
      <c r="AU28" s="1">
        <f ca="1"/>
        <v>1</v>
      </c>
      <c r="AV28" s="1">
        <f ca="1"/>
        <v>7</v>
      </c>
      <c r="AW28" s="1">
        <f ca="1"/>
        <v>-2</v>
      </c>
      <c r="AX28" s="1">
        <f ca="1"/>
        <v>2</v>
      </c>
      <c r="AY28" s="1">
        <f ca="1"/>
        <v>-2</v>
      </c>
      <c r="AZ28" s="1">
        <f ca="1"/>
        <v>-8</v>
      </c>
      <c r="BA28" s="1">
        <f ca="1"/>
        <v>0</v>
      </c>
    </row>
    <row r="29" spans="19:53" ht="18" customHeight="1" x14ac:dyDescent="0.55000000000000004">
      <c r="S29" s="1">
        <v>25</v>
      </c>
      <c r="T29" s="3">
        <f ca="1"/>
        <v>-26014</v>
      </c>
      <c r="U29" s="3">
        <f ca="1"/>
        <v>8099</v>
      </c>
      <c r="V29" s="3">
        <f ca="1"/>
        <v>31247</v>
      </c>
      <c r="W29" s="3">
        <f ca="1"/>
        <v>-9305</v>
      </c>
      <c r="X29" s="3">
        <f ca="1"/>
        <v>13816</v>
      </c>
      <c r="Y29" s="3">
        <f ca="1"/>
        <v>-31343</v>
      </c>
      <c r="Z29" s="3">
        <f ca="1"/>
        <v>19216</v>
      </c>
      <c r="AA29" s="3">
        <f ca="1"/>
        <v>-14613</v>
      </c>
      <c r="AB29" s="3">
        <f ca="1"/>
        <v>-30477</v>
      </c>
      <c r="AC29" s="3">
        <f ca="1"/>
        <v>3507</v>
      </c>
      <c r="AE29" s="1">
        <v>25</v>
      </c>
      <c r="AF29" s="3">
        <f ca="1"/>
        <v>-26016</v>
      </c>
      <c r="AG29" s="3">
        <f ca="1"/>
        <v>8096</v>
      </c>
      <c r="AH29" s="3">
        <f ca="1"/>
        <v>31248</v>
      </c>
      <c r="AI29" s="3">
        <f ca="1"/>
        <v>-9312</v>
      </c>
      <c r="AJ29" s="3">
        <f ca="1"/>
        <v>13824</v>
      </c>
      <c r="AK29" s="3">
        <f ca="1"/>
        <v>-31344</v>
      </c>
      <c r="AL29" s="3">
        <f ca="1"/>
        <v>19216</v>
      </c>
      <c r="AM29" s="3">
        <f ca="1"/>
        <v>-14608</v>
      </c>
      <c r="AN29" s="3">
        <f ca="1"/>
        <v>-30480</v>
      </c>
      <c r="AO29" s="3">
        <f ca="1"/>
        <v>3504</v>
      </c>
      <c r="AQ29" s="1">
        <v>25</v>
      </c>
      <c r="AR29" s="1">
        <f ca="1"/>
        <v>-2</v>
      </c>
      <c r="AS29" s="1">
        <f ca="1"/>
        <v>-3</v>
      </c>
      <c r="AT29" s="1">
        <f ca="1"/>
        <v>1</v>
      </c>
      <c r="AU29" s="1">
        <f ca="1"/>
        <v>-7</v>
      </c>
      <c r="AV29" s="1">
        <f ca="1"/>
        <v>8</v>
      </c>
      <c r="AW29" s="1">
        <f ca="1"/>
        <v>-1</v>
      </c>
      <c r="AX29" s="1">
        <f ca="1"/>
        <v>0</v>
      </c>
      <c r="AY29" s="1">
        <f ca="1"/>
        <v>5</v>
      </c>
      <c r="AZ29" s="1">
        <f ca="1"/>
        <v>-3</v>
      </c>
      <c r="BA29" s="1">
        <f ca="1"/>
        <v>-3</v>
      </c>
    </row>
    <row r="30" spans="19:53" ht="18" customHeight="1" x14ac:dyDescent="0.55000000000000004">
      <c r="S30" s="1">
        <v>26</v>
      </c>
      <c r="T30" s="3">
        <f ca="1"/>
        <v>30220</v>
      </c>
      <c r="U30" s="3">
        <f ca="1"/>
        <v>-21654</v>
      </c>
      <c r="V30" s="3">
        <f ca="1"/>
        <v>-15981</v>
      </c>
      <c r="W30" s="3">
        <f ca="1"/>
        <v>-21111</v>
      </c>
      <c r="X30" s="3">
        <f ca="1"/>
        <v>24677</v>
      </c>
      <c r="Y30" s="3">
        <f ca="1"/>
        <v>-24950</v>
      </c>
      <c r="Z30" s="3">
        <f ca="1"/>
        <v>-22572</v>
      </c>
      <c r="AA30" s="3">
        <f ca="1"/>
        <v>16034</v>
      </c>
      <c r="AB30" s="3">
        <f ca="1"/>
        <v>17775</v>
      </c>
      <c r="AC30" s="3">
        <f ca="1"/>
        <v>18836</v>
      </c>
      <c r="AE30" s="1">
        <v>26</v>
      </c>
      <c r="AF30" s="3">
        <f ca="1"/>
        <v>30224</v>
      </c>
      <c r="AG30" s="3">
        <f ca="1"/>
        <v>-21648</v>
      </c>
      <c r="AH30" s="3">
        <f ca="1"/>
        <v>-15984</v>
      </c>
      <c r="AI30" s="3">
        <f ca="1"/>
        <v>-21104</v>
      </c>
      <c r="AJ30" s="3">
        <f ca="1"/>
        <v>24672</v>
      </c>
      <c r="AK30" s="3">
        <f ca="1"/>
        <v>-24944</v>
      </c>
      <c r="AL30" s="3">
        <f ca="1"/>
        <v>-22576</v>
      </c>
      <c r="AM30" s="3">
        <f ca="1"/>
        <v>16032</v>
      </c>
      <c r="AN30" s="3">
        <f ca="1"/>
        <v>17776</v>
      </c>
      <c r="AO30" s="3">
        <f ca="1"/>
        <v>18832</v>
      </c>
      <c r="AQ30" s="1">
        <v>26</v>
      </c>
      <c r="AR30" s="1">
        <f ca="1"/>
        <v>4</v>
      </c>
      <c r="AS30" s="1">
        <f ca="1"/>
        <v>6</v>
      </c>
      <c r="AT30" s="1">
        <f ca="1"/>
        <v>-3</v>
      </c>
      <c r="AU30" s="1">
        <f ca="1"/>
        <v>7</v>
      </c>
      <c r="AV30" s="1">
        <f ca="1"/>
        <v>-5</v>
      </c>
      <c r="AW30" s="1">
        <f ca="1"/>
        <v>6</v>
      </c>
      <c r="AX30" s="1">
        <f ca="1"/>
        <v>-4</v>
      </c>
      <c r="AY30" s="1">
        <f ca="1"/>
        <v>-2</v>
      </c>
      <c r="AZ30" s="1">
        <f ca="1"/>
        <v>1</v>
      </c>
      <c r="BA30" s="1">
        <f ca="1"/>
        <v>-4</v>
      </c>
    </row>
    <row r="31" spans="19:53" ht="18" customHeight="1" x14ac:dyDescent="0.55000000000000004">
      <c r="S31" s="1">
        <v>27</v>
      </c>
      <c r="T31" s="3">
        <f ca="1"/>
        <v>21850</v>
      </c>
      <c r="U31" s="3">
        <f ca="1"/>
        <v>18875</v>
      </c>
      <c r="V31" s="3">
        <f ca="1"/>
        <v>-13504</v>
      </c>
      <c r="W31" s="3">
        <f ca="1"/>
        <v>-20656</v>
      </c>
      <c r="X31" s="3">
        <f ca="1"/>
        <v>-28866</v>
      </c>
      <c r="Y31" s="3">
        <f ca="1"/>
        <v>-213</v>
      </c>
      <c r="Z31" s="3">
        <f ca="1"/>
        <v>6939</v>
      </c>
      <c r="AA31" s="3">
        <f ca="1"/>
        <v>-24730</v>
      </c>
      <c r="AB31" s="3">
        <f ca="1"/>
        <v>28260</v>
      </c>
      <c r="AC31" s="3">
        <f ca="1"/>
        <v>22833</v>
      </c>
      <c r="AE31" s="1">
        <v>27</v>
      </c>
      <c r="AF31" s="3">
        <f ca="1"/>
        <v>21856</v>
      </c>
      <c r="AG31" s="3">
        <f ca="1"/>
        <v>18880</v>
      </c>
      <c r="AH31" s="3">
        <f ca="1"/>
        <v>-13504</v>
      </c>
      <c r="AI31" s="3">
        <f ca="1"/>
        <v>-20656</v>
      </c>
      <c r="AJ31" s="3">
        <f ca="1"/>
        <v>-28864</v>
      </c>
      <c r="AK31" s="3">
        <f ca="1"/>
        <v>-208</v>
      </c>
      <c r="AL31" s="3">
        <f ca="1"/>
        <v>6944</v>
      </c>
      <c r="AM31" s="3">
        <f ca="1"/>
        <v>-24736</v>
      </c>
      <c r="AN31" s="3">
        <f ca="1"/>
        <v>28256</v>
      </c>
      <c r="AO31" s="3">
        <f ca="1"/>
        <v>22832</v>
      </c>
      <c r="AQ31" s="1">
        <v>27</v>
      </c>
      <c r="AR31" s="1">
        <f ca="1"/>
        <v>6</v>
      </c>
      <c r="AS31" s="1">
        <f ca="1"/>
        <v>5</v>
      </c>
      <c r="AT31" s="1">
        <f ca="1"/>
        <v>0</v>
      </c>
      <c r="AU31" s="1">
        <f ca="1"/>
        <v>0</v>
      </c>
      <c r="AV31" s="1">
        <f ca="1"/>
        <v>2</v>
      </c>
      <c r="AW31" s="1">
        <f ca="1"/>
        <v>5</v>
      </c>
      <c r="AX31" s="1">
        <f ca="1"/>
        <v>5</v>
      </c>
      <c r="AY31" s="1">
        <f ca="1"/>
        <v>-6</v>
      </c>
      <c r="AZ31" s="1">
        <f ca="1"/>
        <v>-4</v>
      </c>
      <c r="BA31" s="1">
        <f ca="1"/>
        <v>-1</v>
      </c>
    </row>
    <row r="32" spans="19:53" ht="18" customHeight="1" x14ac:dyDescent="0.55000000000000004">
      <c r="S32" s="1">
        <v>28</v>
      </c>
      <c r="T32" s="3">
        <f ca="1"/>
        <v>-24033</v>
      </c>
      <c r="U32" s="3">
        <f ca="1"/>
        <v>-10727</v>
      </c>
      <c r="V32" s="3">
        <f ca="1"/>
        <v>2157</v>
      </c>
      <c r="W32" s="3">
        <f ca="1"/>
        <v>-17290</v>
      </c>
      <c r="X32" s="3">
        <f ca="1"/>
        <v>-10074</v>
      </c>
      <c r="Y32" s="3">
        <f ca="1"/>
        <v>-9616</v>
      </c>
      <c r="Z32" s="3">
        <f ca="1"/>
        <v>-15958</v>
      </c>
      <c r="AA32" s="3">
        <f ca="1"/>
        <v>-6689</v>
      </c>
      <c r="AB32" s="3">
        <f ca="1"/>
        <v>-11389</v>
      </c>
      <c r="AC32" s="3">
        <f ca="1"/>
        <v>-21150</v>
      </c>
      <c r="AE32" s="1">
        <v>28</v>
      </c>
      <c r="AF32" s="3">
        <f ca="1"/>
        <v>-24032</v>
      </c>
      <c r="AG32" s="3">
        <f ca="1"/>
        <v>-10720</v>
      </c>
      <c r="AH32" s="3">
        <f ca="1"/>
        <v>2160</v>
      </c>
      <c r="AI32" s="3">
        <f ca="1"/>
        <v>-17296</v>
      </c>
      <c r="AJ32" s="3">
        <f ca="1"/>
        <v>-10080</v>
      </c>
      <c r="AK32" s="3">
        <f ca="1"/>
        <v>-9616</v>
      </c>
      <c r="AL32" s="3">
        <f ca="1"/>
        <v>-15952</v>
      </c>
      <c r="AM32" s="3">
        <f ca="1"/>
        <v>-6688</v>
      </c>
      <c r="AN32" s="3">
        <f ca="1"/>
        <v>-11392</v>
      </c>
      <c r="AO32" s="3">
        <f ca="1"/>
        <v>-21152</v>
      </c>
      <c r="AQ32" s="1">
        <v>28</v>
      </c>
      <c r="AR32" s="1">
        <f ca="1"/>
        <v>1</v>
      </c>
      <c r="AS32" s="1">
        <f ca="1"/>
        <v>7</v>
      </c>
      <c r="AT32" s="1">
        <f ca="1"/>
        <v>3</v>
      </c>
      <c r="AU32" s="1">
        <f ca="1"/>
        <v>-6</v>
      </c>
      <c r="AV32" s="1">
        <f ca="1"/>
        <v>-6</v>
      </c>
      <c r="AW32" s="1">
        <f ca="1"/>
        <v>0</v>
      </c>
      <c r="AX32" s="1">
        <f ca="1"/>
        <v>6</v>
      </c>
      <c r="AY32" s="1">
        <f ca="1"/>
        <v>1</v>
      </c>
      <c r="AZ32" s="1">
        <f ca="1"/>
        <v>-3</v>
      </c>
      <c r="BA32" s="1">
        <f ca="1"/>
        <v>-2</v>
      </c>
    </row>
    <row r="33" spans="19:53" ht="18" customHeight="1" x14ac:dyDescent="0.55000000000000004">
      <c r="S33" s="1">
        <v>29</v>
      </c>
      <c r="T33" s="3">
        <f ca="1"/>
        <v>-29157</v>
      </c>
      <c r="U33" s="3">
        <f ca="1"/>
        <v>19185</v>
      </c>
      <c r="V33" s="3">
        <f ca="1"/>
        <v>7380</v>
      </c>
      <c r="W33" s="3">
        <f ca="1"/>
        <v>5338</v>
      </c>
      <c r="X33" s="3">
        <f ca="1"/>
        <v>2526</v>
      </c>
      <c r="Y33" s="3">
        <f ca="1"/>
        <v>-10797</v>
      </c>
      <c r="Z33" s="3">
        <f ca="1"/>
        <v>-32478</v>
      </c>
      <c r="AA33" s="3">
        <f ca="1"/>
        <v>-964</v>
      </c>
      <c r="AB33" s="3">
        <f ca="1"/>
        <v>6967</v>
      </c>
      <c r="AC33" s="3">
        <f ca="1"/>
        <v>15048</v>
      </c>
      <c r="AE33" s="1">
        <v>29</v>
      </c>
      <c r="AF33" s="3">
        <f ca="1"/>
        <v>-29152</v>
      </c>
      <c r="AG33" s="3">
        <f ca="1"/>
        <v>19184</v>
      </c>
      <c r="AH33" s="3">
        <f ca="1"/>
        <v>7376</v>
      </c>
      <c r="AI33" s="3">
        <f ca="1"/>
        <v>5344</v>
      </c>
      <c r="AJ33" s="3">
        <f ca="1"/>
        <v>2528</v>
      </c>
      <c r="AK33" s="3">
        <f ca="1"/>
        <v>-10800</v>
      </c>
      <c r="AL33" s="3">
        <f ca="1"/>
        <v>-32480</v>
      </c>
      <c r="AM33" s="3">
        <f ca="1"/>
        <v>-960</v>
      </c>
      <c r="AN33" s="3">
        <f ca="1"/>
        <v>6960</v>
      </c>
      <c r="AO33" s="3">
        <f ca="1"/>
        <v>15056</v>
      </c>
      <c r="AQ33" s="1">
        <v>29</v>
      </c>
      <c r="AR33" s="1">
        <f ca="1"/>
        <v>5</v>
      </c>
      <c r="AS33" s="1">
        <f ca="1"/>
        <v>-1</v>
      </c>
      <c r="AT33" s="1">
        <f ca="1"/>
        <v>-4</v>
      </c>
      <c r="AU33" s="1">
        <f ca="1"/>
        <v>6</v>
      </c>
      <c r="AV33" s="1">
        <f ca="1"/>
        <v>2</v>
      </c>
      <c r="AW33" s="1">
        <f ca="1"/>
        <v>-3</v>
      </c>
      <c r="AX33" s="1">
        <f ca="1"/>
        <v>-2</v>
      </c>
      <c r="AY33" s="1">
        <f ca="1"/>
        <v>4</v>
      </c>
      <c r="AZ33" s="1">
        <f ca="1"/>
        <v>-7</v>
      </c>
      <c r="BA33" s="1">
        <f ca="1"/>
        <v>8</v>
      </c>
    </row>
    <row r="34" spans="19:53" ht="18" customHeight="1" x14ac:dyDescent="0.55000000000000004">
      <c r="S34" s="1">
        <v>30</v>
      </c>
      <c r="T34" s="3">
        <f ca="1"/>
        <v>-7309</v>
      </c>
      <c r="U34" s="3">
        <f ca="1"/>
        <v>-3202</v>
      </c>
      <c r="V34" s="3">
        <f ca="1"/>
        <v>26927</v>
      </c>
      <c r="W34" s="3">
        <f ca="1"/>
        <v>4095</v>
      </c>
      <c r="X34" s="3">
        <f ca="1"/>
        <v>22405</v>
      </c>
      <c r="Y34" s="3">
        <f ca="1"/>
        <v>-30655</v>
      </c>
      <c r="Z34" s="3">
        <f ca="1"/>
        <v>20780</v>
      </c>
      <c r="AA34" s="3">
        <f ca="1"/>
        <v>-5990</v>
      </c>
      <c r="AB34" s="3">
        <f ca="1"/>
        <v>31127</v>
      </c>
      <c r="AC34" s="3">
        <f ca="1"/>
        <v>7027</v>
      </c>
      <c r="AE34" s="1">
        <v>30</v>
      </c>
      <c r="AF34" s="3">
        <f ca="1"/>
        <v>-7312</v>
      </c>
      <c r="AG34" s="3">
        <f ca="1"/>
        <v>-3200</v>
      </c>
      <c r="AH34" s="3">
        <f ca="1"/>
        <v>26928</v>
      </c>
      <c r="AI34" s="3">
        <f ca="1"/>
        <v>4096</v>
      </c>
      <c r="AJ34" s="3">
        <f ca="1"/>
        <v>22400</v>
      </c>
      <c r="AK34" s="3">
        <f ca="1"/>
        <v>-30656</v>
      </c>
      <c r="AL34" s="3">
        <f ca="1"/>
        <v>20784</v>
      </c>
      <c r="AM34" s="3">
        <f ca="1"/>
        <v>-5984</v>
      </c>
      <c r="AN34" s="3">
        <f ca="1"/>
        <v>31120</v>
      </c>
      <c r="AO34" s="3">
        <f ca="1"/>
        <v>7024</v>
      </c>
      <c r="AQ34" s="1">
        <v>30</v>
      </c>
      <c r="AR34" s="1">
        <f ca="1"/>
        <v>-3</v>
      </c>
      <c r="AS34" s="1">
        <f ca="1"/>
        <v>2</v>
      </c>
      <c r="AT34" s="1">
        <f ca="1"/>
        <v>1</v>
      </c>
      <c r="AU34" s="1">
        <f ca="1"/>
        <v>1</v>
      </c>
      <c r="AV34" s="1">
        <f ca="1"/>
        <v>-5</v>
      </c>
      <c r="AW34" s="1">
        <f ca="1"/>
        <v>-1</v>
      </c>
      <c r="AX34" s="1">
        <f ca="1"/>
        <v>4</v>
      </c>
      <c r="AY34" s="1">
        <f ca="1"/>
        <v>6</v>
      </c>
      <c r="AZ34" s="1">
        <f ca="1"/>
        <v>-7</v>
      </c>
      <c r="BA34" s="1">
        <f ca="1"/>
        <v>-3</v>
      </c>
    </row>
    <row r="35" spans="19:53" ht="18" customHeight="1" x14ac:dyDescent="0.55000000000000004">
      <c r="S35" s="1">
        <v>31</v>
      </c>
      <c r="T35" s="3">
        <f ca="1"/>
        <v>16288</v>
      </c>
      <c r="U35" s="3">
        <f ca="1"/>
        <v>-20268</v>
      </c>
      <c r="V35" s="3">
        <f ca="1"/>
        <v>-25781</v>
      </c>
      <c r="W35" s="3">
        <f ca="1"/>
        <v>-5598</v>
      </c>
      <c r="X35" s="3">
        <f ca="1"/>
        <v>-28734</v>
      </c>
      <c r="Y35" s="3">
        <f ca="1"/>
        <v>-869</v>
      </c>
      <c r="Z35" s="3">
        <f ca="1"/>
        <v>-5973</v>
      </c>
      <c r="AA35" s="3">
        <f ca="1"/>
        <v>10351</v>
      </c>
      <c r="AB35" s="3">
        <f ca="1"/>
        <v>-19201</v>
      </c>
      <c r="AC35" s="3">
        <f ca="1"/>
        <v>29788</v>
      </c>
      <c r="AE35" s="1">
        <v>31</v>
      </c>
      <c r="AF35" s="3">
        <f ca="1"/>
        <v>16288</v>
      </c>
      <c r="AG35" s="3">
        <f ca="1"/>
        <v>-20272</v>
      </c>
      <c r="AH35" s="3">
        <f ca="1"/>
        <v>-25776</v>
      </c>
      <c r="AI35" s="3">
        <f ca="1"/>
        <v>-5600</v>
      </c>
      <c r="AJ35" s="3">
        <f ca="1"/>
        <v>-28736</v>
      </c>
      <c r="AK35" s="3">
        <f ca="1"/>
        <v>-864</v>
      </c>
      <c r="AL35" s="3">
        <f ca="1"/>
        <v>-5968</v>
      </c>
      <c r="AM35" s="3">
        <f ca="1"/>
        <v>10352</v>
      </c>
      <c r="AN35" s="3">
        <f ca="1"/>
        <v>-19200</v>
      </c>
      <c r="AO35" s="3">
        <f ca="1"/>
        <v>29792</v>
      </c>
      <c r="AQ35" s="1">
        <v>31</v>
      </c>
      <c r="AR35" s="1">
        <f ca="1"/>
        <v>0</v>
      </c>
      <c r="AS35" s="1">
        <f ca="1"/>
        <v>-4</v>
      </c>
      <c r="AT35" s="1">
        <f ca="1"/>
        <v>5</v>
      </c>
      <c r="AU35" s="1">
        <f ca="1"/>
        <v>-2</v>
      </c>
      <c r="AV35" s="1">
        <f ca="1"/>
        <v>-2</v>
      </c>
      <c r="AW35" s="1">
        <f ca="1"/>
        <v>5</v>
      </c>
      <c r="AX35" s="1">
        <f ca="1"/>
        <v>5</v>
      </c>
      <c r="AY35" s="1">
        <f ca="1"/>
        <v>1</v>
      </c>
      <c r="AZ35" s="1">
        <f ca="1"/>
        <v>1</v>
      </c>
      <c r="BA35" s="1">
        <f ca="1"/>
        <v>4</v>
      </c>
    </row>
    <row r="36" spans="19:53" ht="18" customHeight="1" x14ac:dyDescent="0.55000000000000004">
      <c r="S36" s="1">
        <v>32</v>
      </c>
      <c r="T36" s="3">
        <f ca="1"/>
        <v>14146</v>
      </c>
      <c r="U36" s="3">
        <f ca="1"/>
        <v>-18839</v>
      </c>
      <c r="V36" s="3">
        <f ca="1"/>
        <v>18011</v>
      </c>
      <c r="W36" s="3">
        <f ca="1"/>
        <v>12929</v>
      </c>
      <c r="X36" s="3">
        <f ca="1"/>
        <v>-10526</v>
      </c>
      <c r="Y36" s="3">
        <f ca="1"/>
        <v>19577</v>
      </c>
      <c r="Z36" s="3">
        <f ca="1"/>
        <v>11115</v>
      </c>
      <c r="AA36" s="3">
        <f ca="1"/>
        <v>13658</v>
      </c>
      <c r="AB36" s="3">
        <f ca="1"/>
        <v>-12023</v>
      </c>
      <c r="AC36" s="3">
        <f ca="1"/>
        <v>10881</v>
      </c>
      <c r="AE36" s="1">
        <v>32</v>
      </c>
      <c r="AF36" s="3">
        <f ca="1"/>
        <v>14144</v>
      </c>
      <c r="AG36" s="3">
        <f ca="1"/>
        <v>-18832</v>
      </c>
      <c r="AH36" s="3">
        <f ca="1"/>
        <v>18016</v>
      </c>
      <c r="AI36" s="3">
        <f ca="1"/>
        <v>12928</v>
      </c>
      <c r="AJ36" s="3">
        <f ca="1"/>
        <v>-10528</v>
      </c>
      <c r="AK36" s="3">
        <f ca="1"/>
        <v>19584</v>
      </c>
      <c r="AL36" s="3">
        <f ca="1"/>
        <v>11120</v>
      </c>
      <c r="AM36" s="3">
        <f ca="1"/>
        <v>13664</v>
      </c>
      <c r="AN36" s="3">
        <f ca="1"/>
        <v>-12016</v>
      </c>
      <c r="AO36" s="3">
        <f ca="1"/>
        <v>10880</v>
      </c>
      <c r="AQ36" s="1">
        <v>32</v>
      </c>
      <c r="AR36" s="1">
        <f ca="1"/>
        <v>-2</v>
      </c>
      <c r="AS36" s="1">
        <f ca="1"/>
        <v>7</v>
      </c>
      <c r="AT36" s="1">
        <f ca="1"/>
        <v>5</v>
      </c>
      <c r="AU36" s="1">
        <f ca="1"/>
        <v>-1</v>
      </c>
      <c r="AV36" s="1">
        <f ca="1"/>
        <v>-2</v>
      </c>
      <c r="AW36" s="1">
        <f ca="1"/>
        <v>7</v>
      </c>
      <c r="AX36" s="1">
        <f ca="1"/>
        <v>5</v>
      </c>
      <c r="AY36" s="1">
        <f ca="1"/>
        <v>6</v>
      </c>
      <c r="AZ36" s="1">
        <f ca="1"/>
        <v>7</v>
      </c>
      <c r="BA36" s="1">
        <f ca="1"/>
        <v>-1</v>
      </c>
    </row>
    <row r="37" spans="19:53" ht="18" customHeight="1" x14ac:dyDescent="0.55000000000000004">
      <c r="S37" s="1">
        <v>33</v>
      </c>
      <c r="T37" s="3">
        <f ca="1"/>
        <v>17454</v>
      </c>
      <c r="U37" s="3">
        <f ca="1"/>
        <v>-24436</v>
      </c>
      <c r="V37" s="3">
        <f ca="1"/>
        <v>30181</v>
      </c>
      <c r="W37" s="3">
        <f ca="1"/>
        <v>3996</v>
      </c>
      <c r="X37" s="3">
        <f ca="1"/>
        <v>-4782</v>
      </c>
      <c r="Y37" s="3">
        <f ca="1"/>
        <v>18065</v>
      </c>
      <c r="Z37" s="3">
        <f ca="1"/>
        <v>-3243</v>
      </c>
      <c r="AA37" s="3">
        <f ca="1"/>
        <v>-103</v>
      </c>
      <c r="AB37" s="3">
        <f ca="1"/>
        <v>24705</v>
      </c>
      <c r="AC37" s="3">
        <f ca="1"/>
        <v>-13331</v>
      </c>
      <c r="AE37" s="1">
        <v>33</v>
      </c>
      <c r="AF37" s="3">
        <f ca="1"/>
        <v>17456</v>
      </c>
      <c r="AG37" s="3">
        <f ca="1"/>
        <v>-24432</v>
      </c>
      <c r="AH37" s="3">
        <f ca="1"/>
        <v>30176</v>
      </c>
      <c r="AI37" s="3">
        <f ca="1"/>
        <v>4000</v>
      </c>
      <c r="AJ37" s="3">
        <f ca="1"/>
        <v>-4784</v>
      </c>
      <c r="AK37" s="3">
        <f ca="1"/>
        <v>18064</v>
      </c>
      <c r="AL37" s="3">
        <f ca="1"/>
        <v>-3248</v>
      </c>
      <c r="AM37" s="3">
        <f ca="1"/>
        <v>-96</v>
      </c>
      <c r="AN37" s="3">
        <f ca="1"/>
        <v>24704</v>
      </c>
      <c r="AO37" s="3">
        <f ca="1"/>
        <v>-13328</v>
      </c>
      <c r="AQ37" s="1">
        <v>33</v>
      </c>
      <c r="AR37" s="1">
        <f ca="1"/>
        <v>2</v>
      </c>
      <c r="AS37" s="1">
        <f ca="1"/>
        <v>4</v>
      </c>
      <c r="AT37" s="1">
        <f ca="1"/>
        <v>-5</v>
      </c>
      <c r="AU37" s="1">
        <f ca="1"/>
        <v>4</v>
      </c>
      <c r="AV37" s="1">
        <f ca="1"/>
        <v>-2</v>
      </c>
      <c r="AW37" s="1">
        <f ca="1"/>
        <v>-1</v>
      </c>
      <c r="AX37" s="1">
        <f ca="1"/>
        <v>-5</v>
      </c>
      <c r="AY37" s="1">
        <f ca="1"/>
        <v>7</v>
      </c>
      <c r="AZ37" s="1">
        <f ca="1"/>
        <v>-1</v>
      </c>
      <c r="BA37" s="1">
        <f ca="1"/>
        <v>3</v>
      </c>
    </row>
    <row r="38" spans="19:53" ht="18" customHeight="1" x14ac:dyDescent="0.55000000000000004">
      <c r="S38" s="1">
        <v>34</v>
      </c>
      <c r="T38" s="3">
        <f ca="1"/>
        <v>-10316</v>
      </c>
      <c r="U38" s="3">
        <f ca="1"/>
        <v>3769</v>
      </c>
      <c r="V38" s="3">
        <f ca="1"/>
        <v>-26657</v>
      </c>
      <c r="W38" s="3">
        <f ca="1"/>
        <v>-19826</v>
      </c>
      <c r="X38" s="3">
        <f ca="1"/>
        <v>22606</v>
      </c>
      <c r="Y38" s="3">
        <f ca="1"/>
        <v>-2728</v>
      </c>
      <c r="Z38" s="3">
        <f ca="1"/>
        <v>-21620</v>
      </c>
      <c r="AA38" s="3">
        <f ca="1"/>
        <v>7688</v>
      </c>
      <c r="AB38" s="3">
        <f ca="1"/>
        <v>28136</v>
      </c>
      <c r="AC38" s="3">
        <f ca="1"/>
        <v>-7549</v>
      </c>
      <c r="AE38" s="1">
        <v>34</v>
      </c>
      <c r="AF38" s="3">
        <f ca="1"/>
        <v>-10320</v>
      </c>
      <c r="AG38" s="3">
        <f ca="1"/>
        <v>3776</v>
      </c>
      <c r="AH38" s="3">
        <f ca="1"/>
        <v>-26656</v>
      </c>
      <c r="AI38" s="3">
        <f ca="1"/>
        <v>-19824</v>
      </c>
      <c r="AJ38" s="3">
        <f ca="1"/>
        <v>22608</v>
      </c>
      <c r="AK38" s="3">
        <f ca="1"/>
        <v>-2736</v>
      </c>
      <c r="AL38" s="3">
        <f ca="1"/>
        <v>-21616</v>
      </c>
      <c r="AM38" s="3">
        <f ca="1"/>
        <v>7696</v>
      </c>
      <c r="AN38" s="3">
        <f ca="1"/>
        <v>28144</v>
      </c>
      <c r="AO38" s="3">
        <f ca="1"/>
        <v>-7552</v>
      </c>
      <c r="AQ38" s="1">
        <v>34</v>
      </c>
      <c r="AR38" s="1">
        <f ca="1"/>
        <v>-4</v>
      </c>
      <c r="AS38" s="1">
        <f ca="1"/>
        <v>7</v>
      </c>
      <c r="AT38" s="1">
        <f ca="1"/>
        <v>1</v>
      </c>
      <c r="AU38" s="1">
        <f ca="1"/>
        <v>2</v>
      </c>
      <c r="AV38" s="1">
        <f ca="1"/>
        <v>2</v>
      </c>
      <c r="AW38" s="1">
        <f ca="1"/>
        <v>-8</v>
      </c>
      <c r="AX38" s="1">
        <f ca="1"/>
        <v>4</v>
      </c>
      <c r="AY38" s="1">
        <f ca="1"/>
        <v>8</v>
      </c>
      <c r="AZ38" s="1">
        <f ca="1"/>
        <v>8</v>
      </c>
      <c r="BA38" s="1">
        <f ca="1"/>
        <v>-3</v>
      </c>
    </row>
    <row r="39" spans="19:53" ht="18" customHeight="1" x14ac:dyDescent="0.55000000000000004">
      <c r="S39" s="1">
        <v>35</v>
      </c>
      <c r="T39" s="3">
        <f ca="1"/>
        <v>8047</v>
      </c>
      <c r="U39" s="3">
        <f ca="1"/>
        <v>5267</v>
      </c>
      <c r="V39" s="3">
        <f ca="1"/>
        <v>29625</v>
      </c>
      <c r="W39" s="3">
        <f ca="1"/>
        <v>-6028</v>
      </c>
      <c r="X39" s="3">
        <f ca="1"/>
        <v>3951</v>
      </c>
      <c r="Y39" s="3">
        <f ca="1"/>
        <v>-11303</v>
      </c>
      <c r="Z39" s="3">
        <f ca="1"/>
        <v>28186</v>
      </c>
      <c r="AA39" s="3">
        <f ca="1"/>
        <v>-7565</v>
      </c>
      <c r="AB39" s="3">
        <f ca="1"/>
        <v>29452</v>
      </c>
      <c r="AC39" s="3">
        <f ca="1"/>
        <v>-25841</v>
      </c>
      <c r="AE39" s="1">
        <v>35</v>
      </c>
      <c r="AF39" s="3">
        <f ca="1"/>
        <v>8048</v>
      </c>
      <c r="AG39" s="3">
        <f ca="1"/>
        <v>5264</v>
      </c>
      <c r="AH39" s="3">
        <f ca="1"/>
        <v>29632</v>
      </c>
      <c r="AI39" s="3">
        <f ca="1"/>
        <v>-6032</v>
      </c>
      <c r="AJ39" s="3">
        <f ca="1"/>
        <v>3952</v>
      </c>
      <c r="AK39" s="3">
        <f ca="1"/>
        <v>-11296</v>
      </c>
      <c r="AL39" s="3">
        <f ca="1"/>
        <v>28192</v>
      </c>
      <c r="AM39" s="3">
        <f ca="1"/>
        <v>-7568</v>
      </c>
      <c r="AN39" s="3">
        <f ca="1"/>
        <v>29456</v>
      </c>
      <c r="AO39" s="3">
        <f ca="1"/>
        <v>-25840</v>
      </c>
      <c r="AQ39" s="1">
        <v>35</v>
      </c>
      <c r="AR39" s="1">
        <f ca="1"/>
        <v>1</v>
      </c>
      <c r="AS39" s="1">
        <f ca="1"/>
        <v>-3</v>
      </c>
      <c r="AT39" s="1">
        <f ca="1"/>
        <v>7</v>
      </c>
      <c r="AU39" s="1">
        <f ca="1"/>
        <v>-4</v>
      </c>
      <c r="AV39" s="1">
        <f ca="1"/>
        <v>1</v>
      </c>
      <c r="AW39" s="1">
        <f ca="1"/>
        <v>7</v>
      </c>
      <c r="AX39" s="1">
        <f ca="1"/>
        <v>6</v>
      </c>
      <c r="AY39" s="1">
        <f ca="1"/>
        <v>-3</v>
      </c>
      <c r="AZ39" s="1">
        <f ca="1"/>
        <v>4</v>
      </c>
      <c r="BA39" s="1">
        <f ca="1"/>
        <v>1</v>
      </c>
    </row>
    <row r="40" spans="19:53" ht="18" customHeight="1" x14ac:dyDescent="0.55000000000000004">
      <c r="S40" s="1">
        <v>36</v>
      </c>
      <c r="T40" s="3">
        <f ca="1"/>
        <v>30214</v>
      </c>
      <c r="U40" s="3">
        <f ca="1"/>
        <v>13599</v>
      </c>
      <c r="V40" s="3">
        <f ca="1"/>
        <v>-23855</v>
      </c>
      <c r="W40" s="3">
        <f ca="1"/>
        <v>7388</v>
      </c>
      <c r="X40" s="3">
        <f ca="1"/>
        <v>-31858</v>
      </c>
      <c r="Y40" s="3">
        <f ca="1"/>
        <v>-24148</v>
      </c>
      <c r="Z40" s="3">
        <f ca="1"/>
        <v>-25613</v>
      </c>
      <c r="AA40" s="3">
        <f ca="1"/>
        <v>3636</v>
      </c>
      <c r="AB40" s="3">
        <f ca="1"/>
        <v>-21106</v>
      </c>
      <c r="AC40" s="3">
        <f ca="1"/>
        <v>14384</v>
      </c>
      <c r="AE40" s="1">
        <v>36</v>
      </c>
      <c r="AF40" s="3">
        <f ca="1"/>
        <v>30208</v>
      </c>
      <c r="AG40" s="3">
        <f ca="1"/>
        <v>13600</v>
      </c>
      <c r="AH40" s="3">
        <f ca="1"/>
        <v>-23856</v>
      </c>
      <c r="AI40" s="3">
        <f ca="1"/>
        <v>7392</v>
      </c>
      <c r="AJ40" s="3">
        <f ca="1"/>
        <v>-31856</v>
      </c>
      <c r="AK40" s="3">
        <f ca="1"/>
        <v>-24144</v>
      </c>
      <c r="AL40" s="3">
        <f ca="1"/>
        <v>-25616</v>
      </c>
      <c r="AM40" s="3">
        <f ca="1"/>
        <v>3632</v>
      </c>
      <c r="AN40" s="3">
        <f ca="1"/>
        <v>-21104</v>
      </c>
      <c r="AO40" s="3">
        <f ca="1"/>
        <v>14384</v>
      </c>
      <c r="AQ40" s="1">
        <v>36</v>
      </c>
      <c r="AR40" s="1">
        <f ca="1"/>
        <v>-6</v>
      </c>
      <c r="AS40" s="1">
        <f ca="1"/>
        <v>1</v>
      </c>
      <c r="AT40" s="1">
        <f ca="1"/>
        <v>-1</v>
      </c>
      <c r="AU40" s="1">
        <f ca="1"/>
        <v>4</v>
      </c>
      <c r="AV40" s="1">
        <f ca="1"/>
        <v>2</v>
      </c>
      <c r="AW40" s="1">
        <f ca="1"/>
        <v>4</v>
      </c>
      <c r="AX40" s="1">
        <f ca="1"/>
        <v>-3</v>
      </c>
      <c r="AY40" s="1">
        <f ca="1"/>
        <v>-4</v>
      </c>
      <c r="AZ40" s="1">
        <f ca="1"/>
        <v>2</v>
      </c>
      <c r="BA40" s="1">
        <f ca="1"/>
        <v>0</v>
      </c>
    </row>
    <row r="41" spans="19:53" ht="18" customHeight="1" x14ac:dyDescent="0.55000000000000004">
      <c r="S41" s="1">
        <v>37</v>
      </c>
      <c r="T41" s="3">
        <f ca="1"/>
        <v>-32481</v>
      </c>
      <c r="U41" s="3">
        <f ca="1"/>
        <v>23144</v>
      </c>
      <c r="V41" s="3">
        <f ca="1"/>
        <v>19027</v>
      </c>
      <c r="W41" s="3">
        <f ca="1"/>
        <v>26740</v>
      </c>
      <c r="X41" s="3">
        <f ca="1"/>
        <v>-18644</v>
      </c>
      <c r="Y41" s="3">
        <f ca="1"/>
        <v>20569</v>
      </c>
      <c r="Z41" s="3">
        <f ca="1"/>
        <v>22748</v>
      </c>
      <c r="AA41" s="3">
        <f ca="1"/>
        <v>-10833</v>
      </c>
      <c r="AB41" s="3">
        <f ca="1"/>
        <v>29377</v>
      </c>
      <c r="AC41" s="3">
        <f ca="1"/>
        <v>-5665</v>
      </c>
      <c r="AE41" s="1">
        <v>37</v>
      </c>
      <c r="AF41" s="3">
        <f ca="1"/>
        <v>-32480</v>
      </c>
      <c r="AG41" s="3">
        <f ca="1"/>
        <v>23152</v>
      </c>
      <c r="AH41" s="3">
        <f ca="1"/>
        <v>19024</v>
      </c>
      <c r="AI41" s="3">
        <f ca="1"/>
        <v>26736</v>
      </c>
      <c r="AJ41" s="3">
        <f ca="1"/>
        <v>-18640</v>
      </c>
      <c r="AK41" s="3">
        <f ca="1"/>
        <v>20576</v>
      </c>
      <c r="AL41" s="3">
        <f ca="1"/>
        <v>22752</v>
      </c>
      <c r="AM41" s="3">
        <f ca="1"/>
        <v>-10832</v>
      </c>
      <c r="AN41" s="3">
        <f ca="1"/>
        <v>29376</v>
      </c>
      <c r="AO41" s="3">
        <f ca="1"/>
        <v>-5664</v>
      </c>
      <c r="AQ41" s="1">
        <v>37</v>
      </c>
      <c r="AR41" s="1">
        <f ca="1"/>
        <v>1</v>
      </c>
      <c r="AS41" s="1">
        <f ca="1"/>
        <v>8</v>
      </c>
      <c r="AT41" s="1">
        <f ca="1"/>
        <v>-3</v>
      </c>
      <c r="AU41" s="1">
        <f ca="1"/>
        <v>-4</v>
      </c>
      <c r="AV41" s="1">
        <f ca="1"/>
        <v>4</v>
      </c>
      <c r="AW41" s="1">
        <f ca="1"/>
        <v>7</v>
      </c>
      <c r="AX41" s="1">
        <f ca="1"/>
        <v>4</v>
      </c>
      <c r="AY41" s="1">
        <f ca="1"/>
        <v>1</v>
      </c>
      <c r="AZ41" s="1">
        <f ca="1"/>
        <v>-1</v>
      </c>
      <c r="BA41" s="1">
        <f ca="1"/>
        <v>1</v>
      </c>
    </row>
    <row r="42" spans="19:53" ht="18" customHeight="1" x14ac:dyDescent="0.55000000000000004">
      <c r="S42" s="1">
        <v>38</v>
      </c>
      <c r="T42" s="3">
        <f ca="1"/>
        <v>-30138</v>
      </c>
      <c r="U42" s="3">
        <f ca="1"/>
        <v>20512</v>
      </c>
      <c r="V42" s="3">
        <f ca="1"/>
        <v>-14561</v>
      </c>
      <c r="W42" s="3">
        <f ca="1"/>
        <v>-3985</v>
      </c>
      <c r="X42" s="3">
        <f ca="1"/>
        <v>801</v>
      </c>
      <c r="Y42" s="3">
        <f ca="1"/>
        <v>-30561</v>
      </c>
      <c r="Z42" s="3">
        <f ca="1"/>
        <v>29663</v>
      </c>
      <c r="AA42" s="3">
        <f ca="1"/>
        <v>16861</v>
      </c>
      <c r="AB42" s="3">
        <f ca="1"/>
        <v>-26784</v>
      </c>
      <c r="AC42" s="3">
        <f ca="1"/>
        <v>-1830</v>
      </c>
      <c r="AE42" s="1">
        <v>38</v>
      </c>
      <c r="AF42" s="3">
        <f ca="1"/>
        <v>-30144</v>
      </c>
      <c r="AG42" s="3">
        <f ca="1"/>
        <v>20512</v>
      </c>
      <c r="AH42" s="3">
        <f ca="1"/>
        <v>-14560</v>
      </c>
      <c r="AI42" s="3">
        <f ca="1"/>
        <v>-3984</v>
      </c>
      <c r="AJ42" s="3">
        <f ca="1"/>
        <v>800</v>
      </c>
      <c r="AK42" s="3">
        <f ca="1"/>
        <v>-30560</v>
      </c>
      <c r="AL42" s="3">
        <f ca="1"/>
        <v>29664</v>
      </c>
      <c r="AM42" s="3">
        <f ca="1"/>
        <v>16864</v>
      </c>
      <c r="AN42" s="3">
        <f ca="1"/>
        <v>-26784</v>
      </c>
      <c r="AO42" s="3">
        <f ca="1"/>
        <v>-1824</v>
      </c>
      <c r="AQ42" s="1">
        <v>38</v>
      </c>
      <c r="AR42" s="1">
        <f ca="1"/>
        <v>-6</v>
      </c>
      <c r="AS42" s="1">
        <f ca="1"/>
        <v>0</v>
      </c>
      <c r="AT42" s="1">
        <f ca="1"/>
        <v>1</v>
      </c>
      <c r="AU42" s="1">
        <f ca="1"/>
        <v>1</v>
      </c>
      <c r="AV42" s="1">
        <f ca="1"/>
        <v>-1</v>
      </c>
      <c r="AW42" s="1">
        <f ca="1"/>
        <v>1</v>
      </c>
      <c r="AX42" s="1">
        <f ca="1"/>
        <v>1</v>
      </c>
      <c r="AY42" s="1">
        <f ca="1"/>
        <v>3</v>
      </c>
      <c r="AZ42" s="1">
        <f ca="1"/>
        <v>0</v>
      </c>
      <c r="BA42" s="1">
        <f ca="1"/>
        <v>6</v>
      </c>
    </row>
    <row r="43" spans="19:53" ht="18" customHeight="1" x14ac:dyDescent="0.55000000000000004">
      <c r="S43" s="1">
        <v>39</v>
      </c>
      <c r="T43" s="3">
        <f ca="1"/>
        <v>-12659</v>
      </c>
      <c r="U43" s="3">
        <f ca="1"/>
        <v>-20967</v>
      </c>
      <c r="V43" s="3">
        <f ca="1"/>
        <v>-15706</v>
      </c>
      <c r="W43" s="3">
        <f ca="1"/>
        <v>15788</v>
      </c>
      <c r="X43" s="3">
        <f ca="1"/>
        <v>21334</v>
      </c>
      <c r="Y43" s="3">
        <f ca="1"/>
        <v>-32098</v>
      </c>
      <c r="Z43" s="3">
        <f ca="1"/>
        <v>12414</v>
      </c>
      <c r="AA43" s="3">
        <f ca="1"/>
        <v>-19717</v>
      </c>
      <c r="AB43" s="3">
        <f ca="1"/>
        <v>9848</v>
      </c>
      <c r="AC43" s="3">
        <f ca="1"/>
        <v>6706</v>
      </c>
      <c r="AE43" s="1">
        <v>39</v>
      </c>
      <c r="AF43" s="3">
        <f ca="1"/>
        <v>-12656</v>
      </c>
      <c r="AG43" s="3">
        <f ca="1"/>
        <v>-20960</v>
      </c>
      <c r="AH43" s="3">
        <f ca="1"/>
        <v>-15712</v>
      </c>
      <c r="AI43" s="3">
        <f ca="1"/>
        <v>15792</v>
      </c>
      <c r="AJ43" s="3">
        <f ca="1"/>
        <v>21328</v>
      </c>
      <c r="AK43" s="3">
        <f ca="1"/>
        <v>-32096</v>
      </c>
      <c r="AL43" s="3">
        <f ca="1"/>
        <v>12416</v>
      </c>
      <c r="AM43" s="3">
        <f ca="1"/>
        <v>-19712</v>
      </c>
      <c r="AN43" s="3">
        <f ca="1"/>
        <v>9856</v>
      </c>
      <c r="AO43" s="3">
        <f ca="1"/>
        <v>6704</v>
      </c>
      <c r="AQ43" s="1">
        <v>39</v>
      </c>
      <c r="AR43" s="1">
        <f ca="1"/>
        <v>3</v>
      </c>
      <c r="AS43" s="1">
        <f ca="1"/>
        <v>7</v>
      </c>
      <c r="AT43" s="1">
        <f ca="1"/>
        <v>-6</v>
      </c>
      <c r="AU43" s="1">
        <f ca="1"/>
        <v>4</v>
      </c>
      <c r="AV43" s="1">
        <f ca="1"/>
        <v>-6</v>
      </c>
      <c r="AW43" s="1">
        <f ca="1"/>
        <v>2</v>
      </c>
      <c r="AX43" s="1">
        <f ca="1"/>
        <v>2</v>
      </c>
      <c r="AY43" s="1">
        <f ca="1"/>
        <v>5</v>
      </c>
      <c r="AZ43" s="1">
        <f ca="1"/>
        <v>8</v>
      </c>
      <c r="BA43" s="1">
        <f ca="1"/>
        <v>-2</v>
      </c>
    </row>
    <row r="44" spans="19:53" ht="18" customHeight="1" x14ac:dyDescent="0.55000000000000004">
      <c r="S44" s="1">
        <v>40</v>
      </c>
      <c r="T44" s="3">
        <f ca="1"/>
        <v>25454</v>
      </c>
      <c r="U44" s="3">
        <f ca="1"/>
        <v>-8</v>
      </c>
      <c r="V44" s="3">
        <f ca="1"/>
        <v>21333</v>
      </c>
      <c r="W44" s="3">
        <f ca="1"/>
        <v>10365</v>
      </c>
      <c r="X44" s="3">
        <f ca="1"/>
        <v>-27204</v>
      </c>
      <c r="Y44" s="3">
        <f ca="1"/>
        <v>6583</v>
      </c>
      <c r="Z44" s="3">
        <f ca="1"/>
        <v>-12808</v>
      </c>
      <c r="AA44" s="3">
        <f ca="1"/>
        <v>23295</v>
      </c>
      <c r="AB44" s="3">
        <f ca="1"/>
        <v>9518</v>
      </c>
      <c r="AC44" s="3">
        <f ca="1"/>
        <v>-15097</v>
      </c>
      <c r="AE44" s="1">
        <v>40</v>
      </c>
      <c r="AF44" s="3">
        <f ca="1"/>
        <v>25456</v>
      </c>
      <c r="AG44" s="3">
        <f ca="1"/>
        <v>-16</v>
      </c>
      <c r="AH44" s="3">
        <f ca="1"/>
        <v>21328</v>
      </c>
      <c r="AI44" s="3">
        <f ca="1"/>
        <v>10368</v>
      </c>
      <c r="AJ44" s="3">
        <f ca="1"/>
        <v>-27200</v>
      </c>
      <c r="AK44" s="3">
        <f ca="1"/>
        <v>6576</v>
      </c>
      <c r="AL44" s="3">
        <f ca="1"/>
        <v>-12816</v>
      </c>
      <c r="AM44" s="3">
        <f ca="1"/>
        <v>23296</v>
      </c>
      <c r="AN44" s="3">
        <f ca="1"/>
        <v>9520</v>
      </c>
      <c r="AO44" s="3">
        <f ca="1"/>
        <v>-15104</v>
      </c>
      <c r="AQ44" s="1">
        <v>40</v>
      </c>
      <c r="AR44" s="1">
        <f ca="1"/>
        <v>2</v>
      </c>
      <c r="AS44" s="1">
        <f ca="1"/>
        <v>-8</v>
      </c>
      <c r="AT44" s="1">
        <f ca="1"/>
        <v>-5</v>
      </c>
      <c r="AU44" s="1">
        <f ca="1"/>
        <v>3</v>
      </c>
      <c r="AV44" s="1">
        <f ca="1"/>
        <v>4</v>
      </c>
      <c r="AW44" s="1">
        <f ca="1"/>
        <v>-7</v>
      </c>
      <c r="AX44" s="1">
        <f ca="1"/>
        <v>-8</v>
      </c>
      <c r="AY44" s="1">
        <f ca="1"/>
        <v>1</v>
      </c>
      <c r="AZ44" s="1">
        <f ca="1"/>
        <v>2</v>
      </c>
      <c r="BA44" s="1">
        <f ca="1"/>
        <v>-7</v>
      </c>
    </row>
    <row r="45" spans="19:53" ht="18" customHeight="1" x14ac:dyDescent="0.55000000000000004">
      <c r="S45" s="1">
        <v>41</v>
      </c>
      <c r="T45" s="3">
        <f ca="1"/>
        <v>13776</v>
      </c>
      <c r="U45" s="3">
        <f ca="1"/>
        <v>-13426</v>
      </c>
      <c r="V45" s="3">
        <f ca="1"/>
        <v>-3339</v>
      </c>
      <c r="W45" s="3">
        <f ca="1"/>
        <v>-5080</v>
      </c>
      <c r="X45" s="3">
        <f ca="1"/>
        <v>21186</v>
      </c>
      <c r="Y45" s="3">
        <f ca="1"/>
        <v>14355</v>
      </c>
      <c r="Z45" s="3">
        <f ca="1"/>
        <v>-26157</v>
      </c>
      <c r="AA45" s="3">
        <f ca="1"/>
        <v>-28350</v>
      </c>
      <c r="AB45" s="3">
        <f ca="1"/>
        <v>12405</v>
      </c>
      <c r="AC45" s="3">
        <f ca="1"/>
        <v>-30606</v>
      </c>
      <c r="AE45" s="1">
        <v>41</v>
      </c>
      <c r="AF45" s="3">
        <f ca="1"/>
        <v>13776</v>
      </c>
      <c r="AG45" s="3">
        <f ca="1"/>
        <v>-13424</v>
      </c>
      <c r="AH45" s="3">
        <f ca="1"/>
        <v>-3344</v>
      </c>
      <c r="AI45" s="3">
        <f ca="1"/>
        <v>-5088</v>
      </c>
      <c r="AJ45" s="3">
        <f ca="1"/>
        <v>21184</v>
      </c>
      <c r="AK45" s="3">
        <f ca="1"/>
        <v>14352</v>
      </c>
      <c r="AL45" s="3">
        <f ca="1"/>
        <v>-26160</v>
      </c>
      <c r="AM45" s="3">
        <f ca="1"/>
        <v>-28352</v>
      </c>
      <c r="AN45" s="3">
        <f ca="1"/>
        <v>12400</v>
      </c>
      <c r="AO45" s="3">
        <f ca="1"/>
        <v>-30608</v>
      </c>
      <c r="AQ45" s="1">
        <v>41</v>
      </c>
      <c r="AR45" s="1">
        <f ca="1"/>
        <v>0</v>
      </c>
      <c r="AS45" s="1">
        <f ca="1"/>
        <v>2</v>
      </c>
      <c r="AT45" s="1">
        <f ca="1"/>
        <v>-5</v>
      </c>
      <c r="AU45" s="1">
        <f ca="1"/>
        <v>-8</v>
      </c>
      <c r="AV45" s="1">
        <f ca="1"/>
        <v>-2</v>
      </c>
      <c r="AW45" s="1">
        <f ca="1"/>
        <v>-3</v>
      </c>
      <c r="AX45" s="1">
        <f ca="1"/>
        <v>-3</v>
      </c>
      <c r="AY45" s="1">
        <f ca="1"/>
        <v>-2</v>
      </c>
      <c r="AZ45" s="1">
        <f ca="1"/>
        <v>-5</v>
      </c>
      <c r="BA45" s="1">
        <f ca="1"/>
        <v>-2</v>
      </c>
    </row>
    <row r="46" spans="19:53" ht="18" customHeight="1" x14ac:dyDescent="0.55000000000000004">
      <c r="S46" s="1">
        <v>42</v>
      </c>
      <c r="T46" s="3">
        <f ca="1"/>
        <v>-7706</v>
      </c>
      <c r="U46" s="3">
        <f ca="1"/>
        <v>30464</v>
      </c>
      <c r="V46" s="3">
        <f ca="1"/>
        <v>20979</v>
      </c>
      <c r="W46" s="3">
        <f ca="1"/>
        <v>-5296</v>
      </c>
      <c r="X46" s="3">
        <f ca="1"/>
        <v>-14632</v>
      </c>
      <c r="Y46" s="3">
        <f ca="1"/>
        <v>26524</v>
      </c>
      <c r="Z46" s="3">
        <f ca="1"/>
        <v>-21994</v>
      </c>
      <c r="AA46" s="3">
        <f ca="1"/>
        <v>-26569</v>
      </c>
      <c r="AB46" s="3">
        <f ca="1"/>
        <v>17056</v>
      </c>
      <c r="AC46" s="3">
        <f ca="1"/>
        <v>15879</v>
      </c>
      <c r="AE46" s="1">
        <v>42</v>
      </c>
      <c r="AF46" s="3">
        <f ca="1"/>
        <v>-7712</v>
      </c>
      <c r="AG46" s="3">
        <f ca="1"/>
        <v>30464</v>
      </c>
      <c r="AH46" s="3">
        <f ca="1"/>
        <v>20976</v>
      </c>
      <c r="AI46" s="3">
        <f ca="1"/>
        <v>-5296</v>
      </c>
      <c r="AJ46" s="3">
        <f ca="1"/>
        <v>-14640</v>
      </c>
      <c r="AK46" s="3">
        <f ca="1"/>
        <v>26528</v>
      </c>
      <c r="AL46" s="3">
        <f ca="1"/>
        <v>-22000</v>
      </c>
      <c r="AM46" s="3">
        <f ca="1"/>
        <v>-26576</v>
      </c>
      <c r="AN46" s="3">
        <f ca="1"/>
        <v>17056</v>
      </c>
      <c r="AO46" s="3">
        <f ca="1"/>
        <v>15872</v>
      </c>
      <c r="AQ46" s="1">
        <v>42</v>
      </c>
      <c r="AR46" s="1">
        <f ca="1"/>
        <v>-6</v>
      </c>
      <c r="AS46" s="1">
        <f ca="1"/>
        <v>0</v>
      </c>
      <c r="AT46" s="1">
        <f ca="1"/>
        <v>-3</v>
      </c>
      <c r="AU46" s="1">
        <f ca="1"/>
        <v>0</v>
      </c>
      <c r="AV46" s="1">
        <f ca="1"/>
        <v>-8</v>
      </c>
      <c r="AW46" s="1">
        <f ca="1"/>
        <v>4</v>
      </c>
      <c r="AX46" s="1">
        <f ca="1"/>
        <v>-6</v>
      </c>
      <c r="AY46" s="1">
        <f ca="1"/>
        <v>-7</v>
      </c>
      <c r="AZ46" s="1">
        <f ca="1"/>
        <v>0</v>
      </c>
      <c r="BA46" s="1">
        <f ca="1"/>
        <v>-7</v>
      </c>
    </row>
    <row r="47" spans="19:53" ht="18" customHeight="1" x14ac:dyDescent="0.55000000000000004">
      <c r="S47" s="1">
        <v>43</v>
      </c>
      <c r="T47" s="3">
        <f ca="1"/>
        <v>639</v>
      </c>
      <c r="U47" s="3">
        <f ca="1"/>
        <v>-2791</v>
      </c>
      <c r="V47" s="3">
        <f ca="1"/>
        <v>29165</v>
      </c>
      <c r="W47" s="3">
        <f ca="1"/>
        <v>246</v>
      </c>
      <c r="X47" s="3">
        <f ca="1"/>
        <v>-18240</v>
      </c>
      <c r="Y47" s="3">
        <f ca="1"/>
        <v>6758</v>
      </c>
      <c r="Z47" s="3">
        <f ca="1"/>
        <v>-31653</v>
      </c>
      <c r="AA47" s="3">
        <f ca="1"/>
        <v>19012</v>
      </c>
      <c r="AB47" s="3">
        <f ca="1"/>
        <v>8847</v>
      </c>
      <c r="AC47" s="3">
        <f ca="1"/>
        <v>16730</v>
      </c>
      <c r="AE47" s="1">
        <v>43</v>
      </c>
      <c r="AF47" s="3">
        <f ca="1"/>
        <v>640</v>
      </c>
      <c r="AG47" s="3">
        <f ca="1"/>
        <v>-2784</v>
      </c>
      <c r="AH47" s="3">
        <f ca="1"/>
        <v>29168</v>
      </c>
      <c r="AI47" s="3">
        <f ca="1"/>
        <v>240</v>
      </c>
      <c r="AJ47" s="3">
        <f ca="1"/>
        <v>-18240</v>
      </c>
      <c r="AK47" s="3">
        <f ca="1"/>
        <v>6752</v>
      </c>
      <c r="AL47" s="3">
        <f ca="1"/>
        <v>-31648</v>
      </c>
      <c r="AM47" s="3">
        <f ca="1"/>
        <v>19008</v>
      </c>
      <c r="AN47" s="3">
        <f ca="1"/>
        <v>8848</v>
      </c>
      <c r="AO47" s="3">
        <f ca="1"/>
        <v>16736</v>
      </c>
      <c r="AQ47" s="1">
        <v>43</v>
      </c>
      <c r="AR47" s="1">
        <f ca="1"/>
        <v>1</v>
      </c>
      <c r="AS47" s="1">
        <f ca="1"/>
        <v>7</v>
      </c>
      <c r="AT47" s="1">
        <f ca="1"/>
        <v>3</v>
      </c>
      <c r="AU47" s="1">
        <f ca="1"/>
        <v>-6</v>
      </c>
      <c r="AV47" s="1">
        <f ca="1"/>
        <v>0</v>
      </c>
      <c r="AW47" s="1">
        <f ca="1"/>
        <v>-6</v>
      </c>
      <c r="AX47" s="1">
        <f ca="1"/>
        <v>5</v>
      </c>
      <c r="AY47" s="1">
        <f ca="1"/>
        <v>-4</v>
      </c>
      <c r="AZ47" s="1">
        <f ca="1"/>
        <v>1</v>
      </c>
      <c r="BA47" s="1">
        <f ca="1"/>
        <v>6</v>
      </c>
    </row>
    <row r="48" spans="19:53" ht="18" customHeight="1" x14ac:dyDescent="0.55000000000000004">
      <c r="S48" s="1">
        <v>44</v>
      </c>
      <c r="T48" s="3">
        <f ca="1"/>
        <v>-21702</v>
      </c>
      <c r="U48" s="3">
        <f ca="1"/>
        <v>7987</v>
      </c>
      <c r="V48" s="3">
        <f ca="1"/>
        <v>8383</v>
      </c>
      <c r="W48" s="3">
        <f ca="1"/>
        <v>-174</v>
      </c>
      <c r="X48" s="3">
        <f ca="1"/>
        <v>13255</v>
      </c>
      <c r="Y48" s="3">
        <f ca="1"/>
        <v>-7660</v>
      </c>
      <c r="Z48" s="3">
        <f ca="1"/>
        <v>-7051</v>
      </c>
      <c r="AA48" s="3">
        <f ca="1"/>
        <v>-23172</v>
      </c>
      <c r="AB48" s="3">
        <f ca="1"/>
        <v>27459</v>
      </c>
      <c r="AC48" s="3">
        <f ca="1"/>
        <v>-16383</v>
      </c>
      <c r="AE48" s="1">
        <v>44</v>
      </c>
      <c r="AF48" s="3">
        <f ca="1"/>
        <v>-21696</v>
      </c>
      <c r="AG48" s="3">
        <f ca="1"/>
        <v>7984</v>
      </c>
      <c r="AH48" s="3">
        <f ca="1"/>
        <v>8384</v>
      </c>
      <c r="AI48" s="3">
        <f ca="1"/>
        <v>-176</v>
      </c>
      <c r="AJ48" s="3">
        <f ca="1"/>
        <v>13248</v>
      </c>
      <c r="AK48" s="3">
        <f ca="1"/>
        <v>-7664</v>
      </c>
      <c r="AL48" s="3">
        <f ca="1"/>
        <v>-7056</v>
      </c>
      <c r="AM48" s="3">
        <f ca="1"/>
        <v>-23168</v>
      </c>
      <c r="AN48" s="3">
        <f ca="1"/>
        <v>27456</v>
      </c>
      <c r="AO48" s="3">
        <f ca="1"/>
        <v>-16384</v>
      </c>
      <c r="AQ48" s="1">
        <v>44</v>
      </c>
      <c r="AR48" s="1">
        <f ca="1"/>
        <v>6</v>
      </c>
      <c r="AS48" s="1">
        <f ca="1"/>
        <v>-3</v>
      </c>
      <c r="AT48" s="1">
        <f ca="1"/>
        <v>1</v>
      </c>
      <c r="AU48" s="1">
        <f ca="1"/>
        <v>-2</v>
      </c>
      <c r="AV48" s="1">
        <f ca="1"/>
        <v>-7</v>
      </c>
      <c r="AW48" s="1">
        <f ca="1"/>
        <v>-4</v>
      </c>
      <c r="AX48" s="1">
        <f ca="1"/>
        <v>-5</v>
      </c>
      <c r="AY48" s="1">
        <f ca="1"/>
        <v>4</v>
      </c>
      <c r="AZ48" s="1">
        <f ca="1"/>
        <v>-3</v>
      </c>
      <c r="BA48" s="1">
        <f ca="1"/>
        <v>-1</v>
      </c>
    </row>
    <row r="49" spans="19:53" ht="18" customHeight="1" x14ac:dyDescent="0.55000000000000004">
      <c r="S49" s="1">
        <v>45</v>
      </c>
      <c r="T49" s="3">
        <f ca="1"/>
        <v>-12399</v>
      </c>
      <c r="U49" s="3">
        <f ca="1"/>
        <v>6417</v>
      </c>
      <c r="V49" s="3">
        <f ca="1"/>
        <v>16788</v>
      </c>
      <c r="W49" s="3">
        <f ca="1"/>
        <v>-166</v>
      </c>
      <c r="X49" s="3">
        <f ca="1"/>
        <v>16766</v>
      </c>
      <c r="Y49" s="3">
        <f ca="1"/>
        <v>-10337</v>
      </c>
      <c r="Z49" s="3">
        <f ca="1"/>
        <v>-3604</v>
      </c>
      <c r="AA49" s="3">
        <f ca="1"/>
        <v>-18295</v>
      </c>
      <c r="AB49" s="3">
        <f ca="1"/>
        <v>15007</v>
      </c>
      <c r="AC49" s="3">
        <f ca="1"/>
        <v>24468</v>
      </c>
      <c r="AE49" s="1">
        <v>45</v>
      </c>
      <c r="AF49" s="3">
        <f ca="1"/>
        <v>-12400</v>
      </c>
      <c r="AG49" s="3">
        <f ca="1"/>
        <v>6416</v>
      </c>
      <c r="AH49" s="3">
        <f ca="1"/>
        <v>16784</v>
      </c>
      <c r="AI49" s="3">
        <f ca="1"/>
        <v>-160</v>
      </c>
      <c r="AJ49" s="3">
        <f ca="1"/>
        <v>16768</v>
      </c>
      <c r="AK49" s="3">
        <f ca="1"/>
        <v>-10336</v>
      </c>
      <c r="AL49" s="3">
        <f ca="1"/>
        <v>-3600</v>
      </c>
      <c r="AM49" s="3">
        <f ca="1"/>
        <v>-18288</v>
      </c>
      <c r="AN49" s="3">
        <f ca="1"/>
        <v>15008</v>
      </c>
      <c r="AO49" s="3">
        <f ca="1"/>
        <v>24464</v>
      </c>
      <c r="AQ49" s="1">
        <v>45</v>
      </c>
      <c r="AR49" s="1">
        <f ca="1"/>
        <v>-1</v>
      </c>
      <c r="AS49" s="1">
        <f ca="1"/>
        <v>-1</v>
      </c>
      <c r="AT49" s="1">
        <f ca="1"/>
        <v>-4</v>
      </c>
      <c r="AU49" s="1">
        <f ca="1"/>
        <v>6</v>
      </c>
      <c r="AV49" s="1">
        <f ca="1"/>
        <v>2</v>
      </c>
      <c r="AW49" s="1">
        <f ca="1"/>
        <v>1</v>
      </c>
      <c r="AX49" s="1">
        <f ca="1"/>
        <v>4</v>
      </c>
      <c r="AY49" s="1">
        <f ca="1"/>
        <v>7</v>
      </c>
      <c r="AZ49" s="1">
        <f ca="1"/>
        <v>1</v>
      </c>
      <c r="BA49" s="1">
        <f ca="1"/>
        <v>-4</v>
      </c>
    </row>
    <row r="50" spans="19:53" ht="18" customHeight="1" x14ac:dyDescent="0.55000000000000004">
      <c r="S50" s="1">
        <v>46</v>
      </c>
      <c r="T50" s="3">
        <f ca="1"/>
        <v>-30089</v>
      </c>
      <c r="U50" s="3">
        <f ca="1"/>
        <v>8383</v>
      </c>
      <c r="V50" s="3">
        <f ca="1"/>
        <v>19140</v>
      </c>
      <c r="W50" s="3">
        <f ca="1"/>
        <v>-10044</v>
      </c>
      <c r="X50" s="3">
        <f ca="1"/>
        <v>26541</v>
      </c>
      <c r="Y50" s="3">
        <f ca="1"/>
        <v>-22412</v>
      </c>
      <c r="Z50" s="3">
        <f ca="1"/>
        <v>6446</v>
      </c>
      <c r="AA50" s="3">
        <f ca="1"/>
        <v>3651</v>
      </c>
      <c r="AB50" s="3">
        <f ca="1"/>
        <v>18048</v>
      </c>
      <c r="AC50" s="3">
        <f ca="1"/>
        <v>28037</v>
      </c>
      <c r="AE50" s="1">
        <v>46</v>
      </c>
      <c r="AF50" s="3">
        <f ca="1"/>
        <v>-30096</v>
      </c>
      <c r="AG50" s="3">
        <f ca="1"/>
        <v>8384</v>
      </c>
      <c r="AH50" s="3">
        <f ca="1"/>
        <v>19136</v>
      </c>
      <c r="AI50" s="3">
        <f ca="1"/>
        <v>-10048</v>
      </c>
      <c r="AJ50" s="3">
        <f ca="1"/>
        <v>26544</v>
      </c>
      <c r="AK50" s="3">
        <f ca="1"/>
        <v>-22416</v>
      </c>
      <c r="AL50" s="3">
        <f ca="1"/>
        <v>6448</v>
      </c>
      <c r="AM50" s="3">
        <f ca="1"/>
        <v>3648</v>
      </c>
      <c r="AN50" s="3">
        <f ca="1"/>
        <v>18048</v>
      </c>
      <c r="AO50" s="3">
        <f ca="1"/>
        <v>28032</v>
      </c>
      <c r="AQ50" s="1">
        <v>46</v>
      </c>
      <c r="AR50" s="1">
        <f ca="1"/>
        <v>-7</v>
      </c>
      <c r="AS50" s="1">
        <f ca="1"/>
        <v>1</v>
      </c>
      <c r="AT50" s="1">
        <f ca="1"/>
        <v>-4</v>
      </c>
      <c r="AU50" s="1">
        <f ca="1"/>
        <v>-4</v>
      </c>
      <c r="AV50" s="1">
        <f ca="1"/>
        <v>3</v>
      </c>
      <c r="AW50" s="1">
        <f ca="1"/>
        <v>-4</v>
      </c>
      <c r="AX50" s="1">
        <f ca="1"/>
        <v>2</v>
      </c>
      <c r="AY50" s="1">
        <f ca="1"/>
        <v>-3</v>
      </c>
      <c r="AZ50" s="1">
        <f ca="1"/>
        <v>0</v>
      </c>
      <c r="BA50" s="1">
        <f ca="1"/>
        <v>-5</v>
      </c>
    </row>
    <row r="51" spans="19:53" ht="18" customHeight="1" x14ac:dyDescent="0.55000000000000004">
      <c r="S51" s="1">
        <v>47</v>
      </c>
      <c r="T51" s="3">
        <f ca="1"/>
        <v>-21936</v>
      </c>
      <c r="U51" s="3">
        <f ca="1"/>
        <v>4085</v>
      </c>
      <c r="V51" s="3">
        <f ca="1"/>
        <v>17108</v>
      </c>
      <c r="W51" s="3">
        <f ca="1"/>
        <v>17656</v>
      </c>
      <c r="X51" s="3">
        <f ca="1"/>
        <v>13041</v>
      </c>
      <c r="Y51" s="3">
        <f ca="1"/>
        <v>7310</v>
      </c>
      <c r="Z51" s="3">
        <f ca="1"/>
        <v>-1002</v>
      </c>
      <c r="AA51" s="3">
        <f ca="1"/>
        <v>-30996</v>
      </c>
      <c r="AB51" s="3">
        <f ca="1"/>
        <v>-18173</v>
      </c>
      <c r="AC51" s="3">
        <f ca="1"/>
        <v>8562</v>
      </c>
      <c r="AE51" s="1">
        <v>47</v>
      </c>
      <c r="AF51" s="3">
        <f ca="1"/>
        <v>-21936</v>
      </c>
      <c r="AG51" s="3">
        <f ca="1"/>
        <v>4080</v>
      </c>
      <c r="AH51" s="3">
        <f ca="1"/>
        <v>17104</v>
      </c>
      <c r="AI51" s="3">
        <f ca="1"/>
        <v>17664</v>
      </c>
      <c r="AJ51" s="3">
        <f ca="1"/>
        <v>13040</v>
      </c>
      <c r="AK51" s="3">
        <f ca="1"/>
        <v>7312</v>
      </c>
      <c r="AL51" s="3">
        <f ca="1"/>
        <v>-1008</v>
      </c>
      <c r="AM51" s="3">
        <f ca="1"/>
        <v>-30992</v>
      </c>
      <c r="AN51" s="3">
        <f ca="1"/>
        <v>-18176</v>
      </c>
      <c r="AO51" s="3">
        <f ca="1"/>
        <v>8560</v>
      </c>
      <c r="AQ51" s="1">
        <v>47</v>
      </c>
      <c r="AR51" s="1">
        <f ca="1"/>
        <v>0</v>
      </c>
      <c r="AS51" s="1">
        <f ca="1"/>
        <v>-5</v>
      </c>
      <c r="AT51" s="1">
        <f ca="1"/>
        <v>-4</v>
      </c>
      <c r="AU51" s="1">
        <f ca="1"/>
        <v>8</v>
      </c>
      <c r="AV51" s="1">
        <f ca="1"/>
        <v>-1</v>
      </c>
      <c r="AW51" s="1">
        <f ca="1"/>
        <v>2</v>
      </c>
      <c r="AX51" s="1">
        <f ca="1"/>
        <v>-6</v>
      </c>
      <c r="AY51" s="1">
        <f ca="1"/>
        <v>4</v>
      </c>
      <c r="AZ51" s="1">
        <f ca="1"/>
        <v>-3</v>
      </c>
      <c r="BA51" s="1">
        <f ca="1"/>
        <v>-2</v>
      </c>
    </row>
    <row r="52" spans="19:53" ht="18" customHeight="1" x14ac:dyDescent="0.55000000000000004">
      <c r="S52" s="1">
        <v>48</v>
      </c>
      <c r="T52" s="3">
        <f ca="1"/>
        <v>9205</v>
      </c>
      <c r="U52" s="3">
        <f ca="1"/>
        <v>7564</v>
      </c>
      <c r="V52" s="3">
        <f ca="1"/>
        <v>-22684</v>
      </c>
      <c r="W52" s="3">
        <f ca="1"/>
        <v>8504</v>
      </c>
      <c r="X52" s="3">
        <f ca="1"/>
        <v>13676</v>
      </c>
      <c r="Y52" s="3">
        <f ca="1"/>
        <v>-20604</v>
      </c>
      <c r="Z52" s="3">
        <f ca="1"/>
        <v>28477</v>
      </c>
      <c r="AA52" s="3">
        <f ca="1"/>
        <v>-22397</v>
      </c>
      <c r="AB52" s="3">
        <f ca="1"/>
        <v>-17935</v>
      </c>
      <c r="AC52" s="3">
        <f ca="1"/>
        <v>-6591</v>
      </c>
      <c r="AE52" s="1">
        <v>48</v>
      </c>
      <c r="AF52" s="3">
        <f ca="1"/>
        <v>9200</v>
      </c>
      <c r="AG52" s="3">
        <f ca="1"/>
        <v>7568</v>
      </c>
      <c r="AH52" s="3">
        <f ca="1"/>
        <v>-22688</v>
      </c>
      <c r="AI52" s="3">
        <f ca="1"/>
        <v>8512</v>
      </c>
      <c r="AJ52" s="3">
        <f ca="1"/>
        <v>13680</v>
      </c>
      <c r="AK52" s="3">
        <f ca="1"/>
        <v>-20608</v>
      </c>
      <c r="AL52" s="3">
        <f ca="1"/>
        <v>28480</v>
      </c>
      <c r="AM52" s="3">
        <f ca="1"/>
        <v>-22400</v>
      </c>
      <c r="AN52" s="3">
        <f ca="1"/>
        <v>-17936</v>
      </c>
      <c r="AO52" s="3">
        <f ca="1"/>
        <v>-6592</v>
      </c>
      <c r="AQ52" s="1">
        <v>48</v>
      </c>
      <c r="AR52" s="1">
        <f ca="1"/>
        <v>-5</v>
      </c>
      <c r="AS52" s="1">
        <f ca="1"/>
        <v>4</v>
      </c>
      <c r="AT52" s="1">
        <f ca="1"/>
        <v>-4</v>
      </c>
      <c r="AU52" s="1">
        <f ca="1"/>
        <v>8</v>
      </c>
      <c r="AV52" s="1">
        <f ca="1"/>
        <v>4</v>
      </c>
      <c r="AW52" s="1">
        <f ca="1"/>
        <v>-4</v>
      </c>
      <c r="AX52" s="1">
        <f ca="1"/>
        <v>3</v>
      </c>
      <c r="AY52" s="1">
        <f ca="1"/>
        <v>-3</v>
      </c>
      <c r="AZ52" s="1">
        <f ca="1"/>
        <v>-1</v>
      </c>
      <c r="BA52" s="1">
        <f ca="1"/>
        <v>-1</v>
      </c>
    </row>
    <row r="53" spans="19:53" ht="18" customHeight="1" x14ac:dyDescent="0.55000000000000004">
      <c r="S53" s="1">
        <v>49</v>
      </c>
      <c r="T53" s="3">
        <f ca="1"/>
        <v>4933</v>
      </c>
      <c r="U53" s="3">
        <f ca="1"/>
        <v>20193</v>
      </c>
      <c r="V53" s="3">
        <f ca="1"/>
        <v>-15306</v>
      </c>
      <c r="W53" s="3">
        <f ca="1"/>
        <v>19718</v>
      </c>
      <c r="X53" s="3">
        <f ca="1"/>
        <v>30548</v>
      </c>
      <c r="Y53" s="3">
        <f ca="1"/>
        <v>20956</v>
      </c>
      <c r="Z53" s="3">
        <f ca="1"/>
        <v>1634</v>
      </c>
      <c r="AA53" s="3">
        <f ca="1"/>
        <v>23441</v>
      </c>
      <c r="AB53" s="3">
        <f ca="1"/>
        <v>-23490</v>
      </c>
      <c r="AC53" s="3">
        <f ca="1"/>
        <v>23426</v>
      </c>
      <c r="AE53" s="1">
        <v>49</v>
      </c>
      <c r="AF53" s="3">
        <f ca="1"/>
        <v>4928</v>
      </c>
      <c r="AG53" s="3">
        <f ca="1"/>
        <v>20192</v>
      </c>
      <c r="AH53" s="3">
        <f ca="1"/>
        <v>-15312</v>
      </c>
      <c r="AI53" s="3">
        <f ca="1"/>
        <v>19712</v>
      </c>
      <c r="AJ53" s="3">
        <f ca="1"/>
        <v>30544</v>
      </c>
      <c r="AK53" s="3">
        <f ca="1"/>
        <v>20960</v>
      </c>
      <c r="AL53" s="3">
        <f ca="1"/>
        <v>1632</v>
      </c>
      <c r="AM53" s="3">
        <f ca="1"/>
        <v>23440</v>
      </c>
      <c r="AN53" s="3">
        <f ca="1"/>
        <v>-23488</v>
      </c>
      <c r="AO53" s="3">
        <f ca="1"/>
        <v>23424</v>
      </c>
      <c r="AQ53" s="1">
        <v>49</v>
      </c>
      <c r="AR53" s="1">
        <f ca="1"/>
        <v>-5</v>
      </c>
      <c r="AS53" s="1">
        <f ca="1"/>
        <v>-1</v>
      </c>
      <c r="AT53" s="1">
        <f ca="1"/>
        <v>-6</v>
      </c>
      <c r="AU53" s="1">
        <f ca="1"/>
        <v>-6</v>
      </c>
      <c r="AV53" s="1">
        <f ca="1"/>
        <v>-4</v>
      </c>
      <c r="AW53" s="1">
        <f ca="1"/>
        <v>4</v>
      </c>
      <c r="AX53" s="1">
        <f ca="1"/>
        <v>-2</v>
      </c>
      <c r="AY53" s="1">
        <f ca="1"/>
        <v>-1</v>
      </c>
      <c r="AZ53" s="1">
        <f ca="1"/>
        <v>2</v>
      </c>
      <c r="BA53" s="1">
        <f ca="1"/>
        <v>-2</v>
      </c>
    </row>
    <row r="58" spans="19:53" ht="18" customHeight="1" x14ac:dyDescent="0.55000000000000004">
      <c r="T58" s="1" cm="1">
        <f t="array" ref="T58:AC58">_xlfn.SEQUENCE(1,$J$5,0)</f>
        <v>0</v>
      </c>
      <c r="U58" s="1">
        <v>1</v>
      </c>
      <c r="V58" s="1">
        <v>2</v>
      </c>
      <c r="W58" s="1">
        <v>3</v>
      </c>
      <c r="X58" s="1">
        <v>4</v>
      </c>
      <c r="Y58" s="1">
        <v>5</v>
      </c>
      <c r="Z58" s="1">
        <v>6</v>
      </c>
      <c r="AA58" s="1">
        <v>7</v>
      </c>
      <c r="AB58" s="1">
        <v>8</v>
      </c>
      <c r="AC58" s="1">
        <v>9</v>
      </c>
    </row>
    <row r="59" spans="19:53" ht="18" customHeight="1" x14ac:dyDescent="0.55000000000000004">
      <c r="S59" s="1" t="s">
        <v>17</v>
      </c>
      <c r="T59" s="3">
        <f ca="1">SUM(T4:T53)</f>
        <v>-158671</v>
      </c>
      <c r="U59" s="3">
        <f t="shared" ref="U59:AC59" ca="1" si="0">SUM(U4:U53)</f>
        <v>-27277</v>
      </c>
      <c r="V59" s="3">
        <f t="shared" ca="1" si="0"/>
        <v>126233</v>
      </c>
      <c r="W59" s="3">
        <f t="shared" ca="1" si="0"/>
        <v>-118398</v>
      </c>
      <c r="X59" s="3">
        <f t="shared" ca="1" si="0"/>
        <v>142787</v>
      </c>
      <c r="Y59" s="3">
        <f t="shared" ca="1" si="0"/>
        <v>-171397</v>
      </c>
      <c r="Z59" s="3">
        <f t="shared" ca="1" si="0"/>
        <v>-150978</v>
      </c>
      <c r="AA59" s="3">
        <f t="shared" ca="1" si="0"/>
        <v>-252398</v>
      </c>
      <c r="AB59" s="3">
        <f t="shared" ca="1" si="0"/>
        <v>124722</v>
      </c>
      <c r="AC59" s="3">
        <f t="shared" ca="1" si="0"/>
        <v>216332</v>
      </c>
    </row>
    <row r="60" spans="19:53" ht="18" customHeight="1" x14ac:dyDescent="0.55000000000000004">
      <c r="S60" s="1" t="s">
        <v>16</v>
      </c>
      <c r="T60" s="3" cm="1">
        <f t="array" aca="1" ref="T60:AC60" ca="1">POWER(2,$J$4)*ROUND(T59:AC59/POWER(2,$J$4),0)</f>
        <v>-158672</v>
      </c>
      <c r="U60" s="3">
        <f ca="1"/>
        <v>-27280</v>
      </c>
      <c r="V60" s="3">
        <f ca="1"/>
        <v>126240</v>
      </c>
      <c r="W60" s="3">
        <f ca="1"/>
        <v>-118400</v>
      </c>
      <c r="X60" s="3">
        <f ca="1"/>
        <v>142784</v>
      </c>
      <c r="Y60" s="3">
        <f ca="1"/>
        <v>-171392</v>
      </c>
      <c r="Z60" s="3">
        <f ca="1"/>
        <v>-150976</v>
      </c>
      <c r="AA60" s="3">
        <f ca="1"/>
        <v>-252400</v>
      </c>
      <c r="AB60" s="3">
        <f ca="1"/>
        <v>124720</v>
      </c>
      <c r="AC60" s="3">
        <f ca="1"/>
        <v>216336</v>
      </c>
    </row>
    <row r="61" spans="19:53" ht="18" customHeight="1" x14ac:dyDescent="0.55000000000000004">
      <c r="S61" s="1" t="s">
        <v>15</v>
      </c>
      <c r="T61" s="3">
        <f ca="1">SUM(AF4:AF53)</f>
        <v>-158656</v>
      </c>
      <c r="U61" s="3">
        <f t="shared" ref="U61:AC61" ca="1" si="1">SUM(AG4:AG53)</f>
        <v>-27248</v>
      </c>
      <c r="V61" s="3">
        <f t="shared" ca="1" si="1"/>
        <v>126192</v>
      </c>
      <c r="W61" s="3">
        <f t="shared" ca="1" si="1"/>
        <v>-118416</v>
      </c>
      <c r="X61" s="3">
        <f t="shared" ca="1" si="1"/>
        <v>142784</v>
      </c>
      <c r="Y61" s="3">
        <f t="shared" ca="1" si="1"/>
        <v>-171408</v>
      </c>
      <c r="Z61" s="3">
        <f t="shared" ca="1" si="1"/>
        <v>-150960</v>
      </c>
      <c r="AA61" s="3">
        <f t="shared" ca="1" si="1"/>
        <v>-252400</v>
      </c>
      <c r="AB61" s="3">
        <f t="shared" ca="1" si="1"/>
        <v>124720</v>
      </c>
      <c r="AC61" s="3">
        <f t="shared" ca="1" si="1"/>
        <v>216320</v>
      </c>
    </row>
    <row r="62" spans="19:53" ht="18" customHeight="1" x14ac:dyDescent="0.55000000000000004">
      <c r="AE62" s="1" t="s">
        <v>20</v>
      </c>
    </row>
    <row r="63" spans="19:53" ht="18" customHeight="1" x14ac:dyDescent="0.55000000000000004">
      <c r="S63" s="1" t="s">
        <v>18</v>
      </c>
      <c r="T63" s="1" cm="1">
        <f t="array" aca="1" ref="T63:AC63" ca="1">_xlfn.ANCHORARRAY(T60)-T59:AC59</f>
        <v>-1</v>
      </c>
      <c r="U63" s="1">
        <f ca="1"/>
        <v>-3</v>
      </c>
      <c r="V63" s="1">
        <f ca="1"/>
        <v>7</v>
      </c>
      <c r="W63" s="1">
        <f ca="1"/>
        <v>-2</v>
      </c>
      <c r="X63" s="1">
        <f ca="1"/>
        <v>-3</v>
      </c>
      <c r="Y63" s="1">
        <f ca="1"/>
        <v>5</v>
      </c>
      <c r="Z63" s="1">
        <f ca="1"/>
        <v>2</v>
      </c>
      <c r="AA63" s="1">
        <f ca="1"/>
        <v>-2</v>
      </c>
      <c r="AB63" s="1">
        <f ca="1"/>
        <v>-2</v>
      </c>
      <c r="AC63" s="1">
        <f ca="1"/>
        <v>4</v>
      </c>
      <c r="AE63" s="1">
        <f ca="1">_xlfn.STDEV.S(_xlfn.ANCHORARRAY(T63))</f>
        <v>3.6893239368631092</v>
      </c>
    </row>
    <row r="64" spans="19:53" ht="18" customHeight="1" x14ac:dyDescent="0.55000000000000004">
      <c r="S64" s="1" t="s">
        <v>19</v>
      </c>
      <c r="T64" s="1" cm="1">
        <f t="array" aca="1" ref="T64:AC64" ca="1">T61:AC61-T59:AC59</f>
        <v>15</v>
      </c>
      <c r="U64" s="1">
        <f ca="1"/>
        <v>29</v>
      </c>
      <c r="V64" s="1">
        <f ca="1"/>
        <v>-41</v>
      </c>
      <c r="W64" s="1">
        <f ca="1"/>
        <v>-18</v>
      </c>
      <c r="X64" s="1">
        <f ca="1"/>
        <v>-3</v>
      </c>
      <c r="Y64" s="1">
        <f ca="1"/>
        <v>-11</v>
      </c>
      <c r="Z64" s="1">
        <f ca="1"/>
        <v>18</v>
      </c>
      <c r="AA64" s="1">
        <f ca="1"/>
        <v>-2</v>
      </c>
      <c r="AB64" s="1">
        <f ca="1"/>
        <v>-2</v>
      </c>
      <c r="AC64" s="1">
        <f ca="1"/>
        <v>-12</v>
      </c>
      <c r="AE64" s="1">
        <f ca="1">_xlfn.STDEV.S(_xlfn.ANCHORARRAY(T64))</f>
        <v>20.011385648064341</v>
      </c>
    </row>
    <row r="65" spans="31:31" ht="18" customHeight="1" x14ac:dyDescent="0.55000000000000004">
      <c r="AE65" s="1" t="s">
        <v>21</v>
      </c>
    </row>
    <row r="66" spans="31:31" ht="18" customHeight="1" x14ac:dyDescent="0.55000000000000004">
      <c r="AE66" s="1">
        <f ca="1">AE64/AE63</f>
        <v>5.4241335243332562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Motoki Kamimura</dc:creator>
  <cp:lastModifiedBy>Motoki Kamimura</cp:lastModifiedBy>
  <dcterms:created xsi:type="dcterms:W3CDTF">2026-08-24T03:09:50Z</dcterms:created>
  <dcterms:modified xsi:type="dcterms:W3CDTF">2026-08-24T05:06:29Z</dcterms:modified>
</cp:coreProperties>
</file>